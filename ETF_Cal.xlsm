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defaultThemeVersion="166925"/>
  <mc:AlternateContent xmlns:mc="http://schemas.openxmlformats.org/markup-compatibility/2006">
    <mc:Choice Requires="x15">
      <x15ac:absPath xmlns:x15ac="http://schemas.microsoft.com/office/spreadsheetml/2010/11/ac" url="/Users/jktrading/Desktop/ETF/"/>
    </mc:Choice>
  </mc:AlternateContent>
  <xr:revisionPtr revIDLastSave="0" documentId="13_ncr:1_{4F371D7A-D826-B848-A9AE-FC40E088A6FA}" xr6:coauthVersionLast="47" xr6:coauthVersionMax="47" xr10:uidLastSave="{00000000-0000-0000-0000-000000000000}"/>
  <bookViews>
    <workbookView xWindow="0" yWindow="0" windowWidth="38400" windowHeight="21600" activeTab="1" xr2:uid="{63593C57-C3A3-F34B-8D93-2281A3FDA766}"/>
  </bookViews>
  <sheets>
    <sheet name="Estimation" sheetId="8" state="hidden" r:id="rId1"/>
    <sheet name="Rolling Return_Tem" sheetId="14" r:id="rId2"/>
    <sheet name="Efficient Frontier" sheetId="12" r:id="rId3"/>
    <sheet name="Monte Carlo" sheetId="13" r:id="rId4"/>
    <sheet name="Scorecard" sheetId="9" r:id="rId5"/>
    <sheet name="VTI" sheetId="1" r:id="rId6"/>
    <sheet name="VGK" sheetId="2" r:id="rId7"/>
    <sheet name="VPL" sheetId="3" r:id="rId8"/>
    <sheet name="VWO" sheetId="4" r:id="rId9"/>
    <sheet name="VEA" sheetId="5" r:id="rId10"/>
    <sheet name="VGIT" sheetId="7" r:id="rId11"/>
    <sheet name="TIP" sheetId="6" r:id="rId12"/>
    <sheet name="BWX" sheetId="10" r:id="rId13"/>
    <sheet name="WIP" sheetId="11" r:id="rId14"/>
  </sheets>
  <definedNames>
    <definedName name="_xlnm._FilterDatabase" localSheetId="12" hidden="1">BWX!$A$11:$Y$165</definedName>
    <definedName name="_xlnm._FilterDatabase" localSheetId="7" hidden="1">VPL!$A$11:$H$194</definedName>
    <definedName name="_xlnm._FilterDatabase" localSheetId="13" hidden="1">WIP!$A$11:$Y$165</definedName>
    <definedName name="Holding_Period">'Rolling Return_Tem'!$B$12</definedName>
    <definedName name="solver_adj" localSheetId="2" hidden="1">'Efficient Frontier'!$M$15:$M$22</definedName>
    <definedName name="solver_cvg" localSheetId="2" hidden="1">0.0001</definedName>
    <definedName name="solver_drv" localSheetId="2" hidden="1">1</definedName>
    <definedName name="solver_eng" localSheetId="2" hidden="1">1</definedName>
    <definedName name="solver_itr" localSheetId="2" hidden="1">2147483647</definedName>
    <definedName name="solver_lhs1" localSheetId="2" hidden="1">'Efficient Frontier'!$L$26</definedName>
    <definedName name="solver_lhs2" localSheetId="2" hidden="1">'Efficient Frontier'!$M$23</definedName>
    <definedName name="solver_lin" localSheetId="2" hidden="1">2</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2</definedName>
    <definedName name="solver_nod" localSheetId="2" hidden="1">2147483647</definedName>
    <definedName name="solver_num" localSheetId="2" hidden="1">2</definedName>
    <definedName name="solver_opt" localSheetId="2" hidden="1">'Efficient Frontier'!$L$27</definedName>
    <definedName name="solver_pre" localSheetId="2" hidden="1">0.000001</definedName>
    <definedName name="solver_rbv" localSheetId="2" hidden="1">1</definedName>
    <definedName name="solver_rel1" localSheetId="2" hidden="1">2</definedName>
    <definedName name="solver_rel2" localSheetId="2" hidden="1">2</definedName>
    <definedName name="solver_rhs1" localSheetId="2" hidden="1">'Efficient Frontier'!$R$29</definedName>
    <definedName name="solver_rhs2" localSheetId="2" hidden="1">1</definedName>
    <definedName name="solver_rlx" localSheetId="2" hidden="1">1</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9" i="13" l="1"/>
  <c r="B21" i="13"/>
  <c r="B22" i="13"/>
  <c r="E14" i="13"/>
  <c r="K15" i="13"/>
  <c r="AF15" i="12"/>
  <c r="L44" i="12" a="1"/>
  <c r="L44" i="12"/>
  <c r="L27" i="12" a="1"/>
  <c r="L27" i="12"/>
  <c r="C14" i="1"/>
  <c r="P4" i="8"/>
  <c r="N15" i="8"/>
  <c r="D15" i="8"/>
  <c r="D18" i="8"/>
  <c r="F18" i="8"/>
  <c r="D19" i="8"/>
  <c r="F19" i="8"/>
  <c r="D20" i="8"/>
  <c r="F20" i="8"/>
  <c r="D21" i="8"/>
  <c r="F21" i="8"/>
  <c r="D22" i="8"/>
  <c r="F22" i="8"/>
  <c r="F15" i="8"/>
  <c r="D16" i="8"/>
  <c r="F16" i="8"/>
  <c r="D17" i="8"/>
  <c r="F17" i="8"/>
  <c r="F23" i="8"/>
  <c r="D23" i="8"/>
  <c r="M15" i="8"/>
  <c r="H15" i="8"/>
  <c r="I15" i="8"/>
  <c r="H16" i="8"/>
  <c r="I16" i="8"/>
  <c r="H17" i="8"/>
  <c r="I17" i="8"/>
  <c r="H18" i="8"/>
  <c r="I18" i="8"/>
  <c r="H19" i="8"/>
  <c r="I19" i="8"/>
  <c r="H20" i="8"/>
  <c r="I20" i="8"/>
  <c r="H21" i="8"/>
  <c r="I21" i="8"/>
  <c r="H22" i="8"/>
  <c r="I22" i="8"/>
  <c r="I23" i="8"/>
  <c r="E23" i="8"/>
  <c r="N11" i="8"/>
  <c r="U87" i="8"/>
  <c r="W87" i="8"/>
  <c r="Y87" i="8"/>
  <c r="Z87" i="8"/>
  <c r="U88" i="8"/>
  <c r="W88" i="8"/>
  <c r="Y88" i="8"/>
  <c r="Z88" i="8"/>
  <c r="U89" i="8"/>
  <c r="W89" i="8"/>
  <c r="Y89" i="8"/>
  <c r="Z89" i="8"/>
  <c r="U90" i="8"/>
  <c r="W90" i="8"/>
  <c r="Y90" i="8"/>
  <c r="Z90" i="8"/>
  <c r="U91" i="8"/>
  <c r="W91" i="8"/>
  <c r="Y91" i="8"/>
  <c r="Z91" i="8"/>
  <c r="U92" i="8"/>
  <c r="W92" i="8"/>
  <c r="Y92" i="8"/>
  <c r="Z92" i="8"/>
  <c r="U93" i="8"/>
  <c r="W93" i="8"/>
  <c r="Y93" i="8"/>
  <c r="Z93" i="8"/>
  <c r="U94" i="8"/>
  <c r="W94" i="8"/>
  <c r="Y94" i="8"/>
  <c r="Z94" i="8"/>
  <c r="Z95" i="8"/>
  <c r="W95" i="8"/>
  <c r="V95" i="8"/>
  <c r="U95" i="8"/>
  <c r="N9" i="8"/>
  <c r="U73" i="8"/>
  <c r="W73" i="8"/>
  <c r="Y73" i="8"/>
  <c r="Z73" i="8"/>
  <c r="U74" i="8"/>
  <c r="W74" i="8"/>
  <c r="Y74" i="8"/>
  <c r="Z74" i="8"/>
  <c r="U75" i="8"/>
  <c r="W75" i="8"/>
  <c r="Y75" i="8"/>
  <c r="Z75" i="8"/>
  <c r="U76" i="8"/>
  <c r="W76" i="8"/>
  <c r="Y76" i="8"/>
  <c r="Z76" i="8"/>
  <c r="U77" i="8"/>
  <c r="W77" i="8"/>
  <c r="Y77" i="8"/>
  <c r="Z77" i="8"/>
  <c r="U78" i="8"/>
  <c r="W78" i="8"/>
  <c r="Y78" i="8"/>
  <c r="Z78" i="8"/>
  <c r="U79" i="8"/>
  <c r="W79" i="8"/>
  <c r="Y79" i="8"/>
  <c r="Z79" i="8"/>
  <c r="U80" i="8"/>
  <c r="W80" i="8"/>
  <c r="Y80" i="8"/>
  <c r="Z80" i="8"/>
  <c r="Z81" i="8"/>
  <c r="Y81" i="8"/>
  <c r="U81" i="8"/>
  <c r="N13" i="8"/>
  <c r="D11" i="8"/>
  <c r="D4" i="8"/>
  <c r="D5" i="8"/>
  <c r="D6" i="8"/>
  <c r="D7" i="8"/>
  <c r="D8" i="8"/>
  <c r="D9" i="8"/>
  <c r="D10" i="8"/>
  <c r="D3" i="8"/>
  <c r="M13" i="8"/>
  <c r="F3" i="8"/>
  <c r="H3" i="8"/>
  <c r="I3" i="8"/>
  <c r="F4" i="8"/>
  <c r="H4" i="8"/>
  <c r="I4" i="8"/>
  <c r="F5" i="8"/>
  <c r="H5" i="8"/>
  <c r="I5" i="8"/>
  <c r="F6" i="8"/>
  <c r="H6" i="8"/>
  <c r="I6" i="8"/>
  <c r="F7" i="8"/>
  <c r="H7" i="8"/>
  <c r="I7" i="8"/>
  <c r="F8" i="8"/>
  <c r="H8" i="8"/>
  <c r="I8" i="8"/>
  <c r="F9" i="8"/>
  <c r="H9" i="8"/>
  <c r="I9" i="8"/>
  <c r="F10" i="8"/>
  <c r="H10" i="8"/>
  <c r="I10" i="8"/>
  <c r="I11" i="8"/>
  <c r="F11" i="8"/>
  <c r="E11" i="8"/>
  <c r="N7" i="8"/>
  <c r="O7" i="8"/>
  <c r="U61" i="8"/>
  <c r="W61" i="8"/>
  <c r="E18" i="13"/>
  <c r="L15" i="13"/>
  <c r="K16" i="13"/>
  <c r="L16" i="13"/>
  <c r="U62" i="8"/>
  <c r="W62" i="8"/>
  <c r="U63" i="8"/>
  <c r="U64" i="8"/>
  <c r="U65" i="8"/>
  <c r="U66" i="8"/>
  <c r="U67" i="8"/>
  <c r="U68" i="8"/>
  <c r="U69" i="8"/>
  <c r="M7" i="8"/>
  <c r="U38" i="8"/>
  <c r="M5" i="8"/>
  <c r="Y69" i="8"/>
  <c r="W68" i="8"/>
  <c r="Y68" i="8"/>
  <c r="W67" i="8"/>
  <c r="Y67" i="8"/>
  <c r="W66" i="8"/>
  <c r="Y66" i="8"/>
  <c r="W65" i="8"/>
  <c r="Y65" i="8"/>
  <c r="W64" i="8"/>
  <c r="Y64" i="8"/>
  <c r="W63" i="8"/>
  <c r="Y63" i="8"/>
  <c r="Y62" i="8"/>
  <c r="Y61" i="8"/>
  <c r="U40" i="8"/>
  <c r="W40" i="8"/>
  <c r="U49" i="8"/>
  <c r="W49" i="8"/>
  <c r="N22" i="8"/>
  <c r="K17" i="13"/>
  <c r="L17" i="13"/>
  <c r="K18" i="13"/>
  <c r="L18" i="13"/>
  <c r="K19" i="13"/>
  <c r="L19" i="13"/>
  <c r="R27" i="12" a="1"/>
  <c r="R27" i="12"/>
  <c r="B23" i="13"/>
  <c r="E15" i="13"/>
  <c r="K20" i="13"/>
  <c r="L20" i="13"/>
  <c r="K21" i="13"/>
  <c r="L21" i="13"/>
  <c r="K22" i="13"/>
  <c r="L22" i="13"/>
  <c r="K23" i="13"/>
  <c r="L23" i="13"/>
  <c r="K24" i="13"/>
  <c r="L24" i="13"/>
  <c r="K25" i="13"/>
  <c r="L25" i="13"/>
  <c r="K26" i="13"/>
  <c r="L26" i="13"/>
  <c r="K27" i="13"/>
  <c r="L27" i="13"/>
  <c r="K28" i="13"/>
  <c r="L28" i="13"/>
  <c r="K29" i="13"/>
  <c r="L29" i="13"/>
  <c r="K30" i="13"/>
  <c r="L30" i="13"/>
  <c r="K31" i="13"/>
  <c r="L31" i="13"/>
  <c r="K32" i="13"/>
  <c r="L32" i="13"/>
  <c r="K33" i="13"/>
  <c r="L33" i="13"/>
  <c r="K34" i="13"/>
  <c r="L34" i="13"/>
  <c r="K35" i="13"/>
  <c r="L35" i="13"/>
  <c r="K36" i="13"/>
  <c r="L36" i="13"/>
  <c r="K37" i="13"/>
  <c r="L37" i="13"/>
  <c r="K38" i="13"/>
  <c r="L38" i="13"/>
  <c r="K39" i="13"/>
  <c r="L39" i="13"/>
  <c r="K40" i="13"/>
  <c r="L40" i="13"/>
  <c r="K41" i="13"/>
  <c r="L41" i="13"/>
  <c r="K42" i="13"/>
  <c r="L42" i="13"/>
  <c r="K43" i="13"/>
  <c r="L43" i="13"/>
  <c r="K44" i="13"/>
  <c r="L44" i="13"/>
  <c r="K45" i="13"/>
  <c r="L45" i="13"/>
  <c r="K46" i="13"/>
  <c r="L46" i="13"/>
  <c r="K47" i="13"/>
  <c r="L47" i="13"/>
  <c r="K48" i="13"/>
  <c r="L48" i="13"/>
  <c r="K49" i="13"/>
  <c r="L49" i="13"/>
  <c r="K50" i="13"/>
  <c r="L50" i="13"/>
  <c r="K51" i="13"/>
  <c r="L51" i="13"/>
  <c r="K52" i="13"/>
  <c r="L52" i="13"/>
  <c r="K53" i="13"/>
  <c r="L53" i="13"/>
  <c r="K54" i="13"/>
  <c r="L54" i="13"/>
  <c r="K55" i="13"/>
  <c r="L55" i="13"/>
  <c r="K56" i="13"/>
  <c r="L56" i="13"/>
  <c r="K57" i="13"/>
  <c r="L57" i="13"/>
  <c r="K58" i="13"/>
  <c r="L58" i="13"/>
  <c r="K59" i="13"/>
  <c r="L59" i="13"/>
  <c r="K60" i="13"/>
  <c r="L60" i="13"/>
  <c r="K61" i="13"/>
  <c r="L61" i="13"/>
  <c r="K62" i="13"/>
  <c r="L62" i="13"/>
  <c r="K63" i="13"/>
  <c r="L63" i="13"/>
  <c r="K64" i="13"/>
  <c r="L64" i="13"/>
  <c r="K65" i="13"/>
  <c r="L65" i="13"/>
  <c r="K66" i="13"/>
  <c r="L66" i="13"/>
  <c r="K67" i="13"/>
  <c r="L67" i="13"/>
  <c r="K68" i="13"/>
  <c r="L68" i="13"/>
  <c r="K69" i="13"/>
  <c r="L69" i="13"/>
  <c r="K70" i="13"/>
  <c r="L70" i="13"/>
  <c r="K71" i="13"/>
  <c r="L71" i="13"/>
  <c r="K72" i="13"/>
  <c r="L72" i="13"/>
  <c r="K73" i="13"/>
  <c r="L73" i="13"/>
  <c r="K74" i="13"/>
  <c r="L74" i="13"/>
  <c r="K75" i="13"/>
  <c r="L75" i="13"/>
  <c r="K76" i="13"/>
  <c r="L76" i="13"/>
  <c r="K77" i="13"/>
  <c r="L77" i="13"/>
  <c r="K78" i="13"/>
  <c r="L78" i="13"/>
  <c r="K79" i="13"/>
  <c r="L79" i="13"/>
  <c r="K80" i="13"/>
  <c r="L80" i="13"/>
  <c r="K81" i="13"/>
  <c r="L81" i="13"/>
  <c r="K82" i="13"/>
  <c r="L82" i="13"/>
  <c r="K83" i="13"/>
  <c r="L83" i="13"/>
  <c r="K84" i="13"/>
  <c r="L84" i="13"/>
  <c r="K85" i="13"/>
  <c r="L85" i="13"/>
  <c r="K86" i="13"/>
  <c r="L86" i="13"/>
  <c r="K87" i="13"/>
  <c r="L87" i="13"/>
  <c r="K88" i="13"/>
  <c r="L88" i="13"/>
  <c r="K89" i="13"/>
  <c r="L89" i="13"/>
  <c r="K90" i="13"/>
  <c r="L90" i="13"/>
  <c r="K91" i="13"/>
  <c r="L91" i="13"/>
  <c r="K92" i="13"/>
  <c r="L92" i="13"/>
  <c r="K93" i="13"/>
  <c r="L93" i="13"/>
  <c r="K94" i="13"/>
  <c r="L94" i="13"/>
  <c r="K95" i="13"/>
  <c r="L95" i="13"/>
  <c r="K96" i="13"/>
  <c r="L96" i="13"/>
  <c r="K97" i="13"/>
  <c r="L97" i="13"/>
  <c r="K98" i="13"/>
  <c r="L98" i="13"/>
  <c r="K99" i="13"/>
  <c r="L99" i="13"/>
  <c r="K100" i="13"/>
  <c r="L100" i="13"/>
  <c r="K101" i="13"/>
  <c r="L101" i="13"/>
  <c r="K102" i="13"/>
  <c r="L102" i="13"/>
  <c r="K103" i="13"/>
  <c r="L103" i="13"/>
  <c r="K104" i="13"/>
  <c r="L104" i="13"/>
  <c r="K105" i="13"/>
  <c r="L105" i="13"/>
  <c r="K106" i="13"/>
  <c r="L106" i="13"/>
  <c r="K107" i="13"/>
  <c r="L107" i="13"/>
  <c r="K108" i="13"/>
  <c r="L108" i="13"/>
  <c r="K109" i="13"/>
  <c r="L109" i="13"/>
  <c r="K110" i="13"/>
  <c r="L110" i="13"/>
  <c r="K111" i="13"/>
  <c r="L111" i="13"/>
  <c r="K112" i="13"/>
  <c r="L112" i="13"/>
  <c r="K113" i="13"/>
  <c r="L113" i="13"/>
  <c r="K114" i="13"/>
  <c r="L114" i="13"/>
  <c r="K115" i="13"/>
  <c r="L115" i="13"/>
  <c r="K116" i="13"/>
  <c r="L116" i="13"/>
  <c r="K117" i="13"/>
  <c r="L117" i="13"/>
  <c r="K118" i="13"/>
  <c r="L118" i="13"/>
  <c r="K119" i="13"/>
  <c r="L119" i="13"/>
  <c r="K120" i="13"/>
  <c r="L120" i="13"/>
  <c r="K121" i="13"/>
  <c r="L121" i="13"/>
  <c r="K122" i="13"/>
  <c r="L122" i="13"/>
  <c r="K123" i="13"/>
  <c r="L123" i="13"/>
  <c r="K124" i="13"/>
  <c r="L124" i="13"/>
  <c r="K125" i="13"/>
  <c r="L125" i="13"/>
  <c r="K126" i="13"/>
  <c r="L126" i="13"/>
  <c r="K127" i="13"/>
  <c r="L127" i="13"/>
  <c r="K128" i="13"/>
  <c r="L128" i="13"/>
  <c r="K129" i="13"/>
  <c r="L129" i="13"/>
  <c r="K130" i="13"/>
  <c r="L130" i="13"/>
  <c r="K131" i="13"/>
  <c r="L131" i="13"/>
  <c r="K132" i="13"/>
  <c r="L132" i="13"/>
  <c r="K133" i="13"/>
  <c r="L133" i="13"/>
  <c r="K134" i="13"/>
  <c r="L134" i="13"/>
  <c r="H14" i="13"/>
  <c r="AF16" i="12"/>
  <c r="AG16" i="12"/>
  <c r="C16" i="14"/>
  <c r="C17" i="14"/>
  <c r="C18" i="14"/>
  <c r="C19" i="14"/>
  <c r="C20" i="14"/>
  <c r="C21" i="14"/>
  <c r="C22" i="14"/>
  <c r="C23" i="14"/>
  <c r="C24" i="14"/>
  <c r="C25" i="14"/>
  <c r="C26" i="14"/>
  <c r="C27" i="14"/>
  <c r="C28" i="14"/>
  <c r="D28" i="14" a="1"/>
  <c r="D28" i="14"/>
  <c r="E28" i="14"/>
  <c r="D27" i="14" a="1"/>
  <c r="D27" i="14"/>
  <c r="D22" i="14" a="1"/>
  <c r="D22" i="14"/>
  <c r="U50" i="8"/>
  <c r="U51" i="8"/>
  <c r="U52" i="8"/>
  <c r="U53" i="8"/>
  <c r="U54" i="8"/>
  <c r="U55" i="8"/>
  <c r="U56" i="8"/>
  <c r="U57" i="8"/>
  <c r="Y57" i="8"/>
  <c r="W56" i="8"/>
  <c r="Y56" i="8"/>
  <c r="W55" i="8"/>
  <c r="Y55" i="8"/>
  <c r="W54" i="8"/>
  <c r="Y54" i="8"/>
  <c r="W53" i="8"/>
  <c r="Y53" i="8"/>
  <c r="W52" i="8"/>
  <c r="Y52" i="8"/>
  <c r="W51" i="8"/>
  <c r="Y51" i="8"/>
  <c r="W50" i="8"/>
  <c r="Y50" i="8"/>
  <c r="Y49" i="8"/>
  <c r="E27" i="14"/>
  <c r="AF17" i="12"/>
  <c r="AG17" i="12"/>
  <c r="L45" i="12"/>
  <c r="O27" i="1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H3" i="2"/>
  <c r="U41" i="8"/>
  <c r="U37" i="8"/>
  <c r="W37" i="8"/>
  <c r="U39" i="8"/>
  <c r="U42" i="8"/>
  <c r="U43" i="8"/>
  <c r="U44" i="8"/>
  <c r="U45" i="8"/>
  <c r="Y45" i="8"/>
  <c r="W44" i="8"/>
  <c r="Y44" i="8"/>
  <c r="W43" i="8"/>
  <c r="Y43" i="8"/>
  <c r="W42" i="8"/>
  <c r="Y42" i="8"/>
  <c r="W41" i="8"/>
  <c r="Y41" i="8"/>
  <c r="Y40" i="8"/>
  <c r="W39" i="8"/>
  <c r="Y39" i="8"/>
  <c r="W38" i="8"/>
  <c r="Y38" i="8"/>
  <c r="Y37" i="8"/>
  <c r="U25" i="8"/>
  <c r="U32" i="8"/>
  <c r="W32" i="8"/>
  <c r="U26" i="8"/>
  <c r="W26" i="8"/>
  <c r="W25" i="8"/>
  <c r="Y26" i="8"/>
  <c r="U27" i="8"/>
  <c r="W27" i="8"/>
  <c r="Y27" i="8"/>
  <c r="U28" i="8"/>
  <c r="W28" i="8"/>
  <c r="Y28" i="8"/>
  <c r="U29" i="8"/>
  <c r="W29" i="8"/>
  <c r="Y29" i="8"/>
  <c r="U30" i="8"/>
  <c r="W30" i="8"/>
  <c r="Y30" i="8"/>
  <c r="U31" i="8"/>
  <c r="W31" i="8"/>
  <c r="Y31" i="8"/>
  <c r="Y32" i="8"/>
  <c r="Y33" i="8"/>
  <c r="Y25" i="8"/>
  <c r="U33" i="8"/>
  <c r="V14" i="8"/>
  <c r="E16" i="13"/>
  <c r="AE22" i="12"/>
  <c r="AD22" i="12"/>
  <c r="L16" i="12"/>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H3" i="6"/>
  <c r="L20" i="12"/>
  <c r="Q3" i="2"/>
  <c r="V15" i="8"/>
  <c r="X15" i="8"/>
  <c r="V16" i="8"/>
  <c r="X16" i="8"/>
  <c r="V17" i="8"/>
  <c r="X17" i="8"/>
  <c r="V18" i="8"/>
  <c r="X18" i="8"/>
  <c r="V19" i="8"/>
  <c r="X19" i="8"/>
  <c r="V20" i="8"/>
  <c r="X20" i="8"/>
  <c r="V21" i="8"/>
  <c r="X21" i="8"/>
  <c r="X14" i="8"/>
  <c r="V22" i="8"/>
  <c r="M23" i="12"/>
  <c r="C29" i="14"/>
  <c r="D29" i="14" a="1"/>
  <c r="D29" i="14"/>
  <c r="C30" i="14"/>
  <c r="D30" i="14" a="1"/>
  <c r="D30" i="14"/>
  <c r="C31" i="14"/>
  <c r="D31" i="14" a="1"/>
  <c r="D31" i="14"/>
  <c r="C32" i="14"/>
  <c r="D32" i="14" a="1"/>
  <c r="D32" i="14"/>
  <c r="C33" i="14"/>
  <c r="D33" i="14" a="1"/>
  <c r="D33" i="14"/>
  <c r="C34" i="14"/>
  <c r="D34" i="14" a="1"/>
  <c r="D34" i="14"/>
  <c r="C35" i="14"/>
  <c r="D35" i="14" a="1"/>
  <c r="D35" i="14"/>
  <c r="C36" i="14"/>
  <c r="D36" i="14" a="1"/>
  <c r="D36" i="14"/>
  <c r="C37" i="14"/>
  <c r="D37" i="14" a="1"/>
  <c r="D37" i="14"/>
  <c r="C38" i="14"/>
  <c r="D38" i="14" a="1"/>
  <c r="D38" i="14"/>
  <c r="C39" i="14"/>
  <c r="D39" i="14" a="1"/>
  <c r="D39" i="14"/>
  <c r="C40" i="14"/>
  <c r="D40" i="14" a="1"/>
  <c r="D40" i="14"/>
  <c r="C41" i="14"/>
  <c r="D41" i="14" a="1"/>
  <c r="D41" i="14"/>
  <c r="C42" i="14"/>
  <c r="D42" i="14" a="1"/>
  <c r="D42" i="14"/>
  <c r="C43" i="14"/>
  <c r="D43" i="14" a="1"/>
  <c r="D43" i="14"/>
  <c r="C44" i="14"/>
  <c r="D44" i="14" a="1"/>
  <c r="D44" i="14"/>
  <c r="C45" i="14"/>
  <c r="D45" i="14" a="1"/>
  <c r="D45" i="14"/>
  <c r="C46" i="14"/>
  <c r="D46" i="14" a="1"/>
  <c r="D46" i="14"/>
  <c r="C47" i="14"/>
  <c r="D47" i="14" a="1"/>
  <c r="D47" i="14"/>
  <c r="C48" i="14"/>
  <c r="D48" i="14" a="1"/>
  <c r="D48" i="14"/>
  <c r="C49" i="14"/>
  <c r="D49" i="14" a="1"/>
  <c r="D49" i="14"/>
  <c r="C50" i="14"/>
  <c r="D50" i="14" a="1"/>
  <c r="D50" i="14"/>
  <c r="C51" i="14"/>
  <c r="D51" i="14" a="1"/>
  <c r="D51" i="14"/>
  <c r="C52" i="14"/>
  <c r="D52" i="14" a="1"/>
  <c r="D52" i="14"/>
  <c r="C53" i="14"/>
  <c r="D53" i="14" a="1"/>
  <c r="D53" i="14"/>
  <c r="C54" i="14"/>
  <c r="D54" i="14" a="1"/>
  <c r="D54" i="14"/>
  <c r="C55" i="14"/>
  <c r="D55" i="14" a="1"/>
  <c r="D55" i="14"/>
  <c r="C56" i="14"/>
  <c r="D56" i="14" a="1"/>
  <c r="D56" i="14"/>
  <c r="C57" i="14"/>
  <c r="D57" i="14" a="1"/>
  <c r="D57" i="14"/>
  <c r="C58" i="14"/>
  <c r="D58" i="14" a="1"/>
  <c r="D58" i="14"/>
  <c r="C59" i="14"/>
  <c r="D59" i="14" a="1"/>
  <c r="D59" i="14"/>
  <c r="C60" i="14"/>
  <c r="D60" i="14" a="1"/>
  <c r="D60" i="14"/>
  <c r="C61" i="14"/>
  <c r="D61" i="14" a="1"/>
  <c r="D61" i="14"/>
  <c r="C62" i="14"/>
  <c r="D62" i="14" a="1"/>
  <c r="D62" i="14"/>
  <c r="C63" i="14"/>
  <c r="D63" i="14" a="1"/>
  <c r="D63" i="14"/>
  <c r="C64" i="14"/>
  <c r="D64" i="14" a="1"/>
  <c r="D64" i="14"/>
  <c r="C65" i="14"/>
  <c r="D65" i="14" a="1"/>
  <c r="D65" i="14"/>
  <c r="C66" i="14"/>
  <c r="D66" i="14" a="1"/>
  <c r="D66" i="14"/>
  <c r="C67" i="14"/>
  <c r="D67" i="14" a="1"/>
  <c r="D67" i="14"/>
  <c r="C68" i="14"/>
  <c r="D68" i="14" a="1"/>
  <c r="D68" i="14"/>
  <c r="C69" i="14"/>
  <c r="D69" i="14" a="1"/>
  <c r="D69" i="14"/>
  <c r="C70" i="14"/>
  <c r="D70" i="14" a="1"/>
  <c r="D70" i="14"/>
  <c r="C71" i="14"/>
  <c r="D71" i="14" a="1"/>
  <c r="D71" i="14"/>
  <c r="C72" i="14"/>
  <c r="D72" i="14" a="1"/>
  <c r="D72" i="14"/>
  <c r="C73" i="14"/>
  <c r="D73" i="14" a="1"/>
  <c r="D73" i="14"/>
  <c r="C74" i="14"/>
  <c r="D74" i="14" a="1"/>
  <c r="D74" i="14"/>
  <c r="C75" i="14"/>
  <c r="D75" i="14" a="1"/>
  <c r="D75" i="14"/>
  <c r="C76" i="14"/>
  <c r="D76" i="14" a="1"/>
  <c r="D76" i="14"/>
  <c r="C77" i="14"/>
  <c r="D77" i="14" a="1"/>
  <c r="D77" i="14"/>
  <c r="C78" i="14"/>
  <c r="D78" i="14" a="1"/>
  <c r="D78" i="14"/>
  <c r="C79" i="14"/>
  <c r="D79" i="14" a="1"/>
  <c r="D79" i="14"/>
  <c r="C80" i="14"/>
  <c r="D80" i="14" a="1"/>
  <c r="D80" i="14"/>
  <c r="C81" i="14"/>
  <c r="D81" i="14" a="1"/>
  <c r="D81" i="14"/>
  <c r="C82" i="14"/>
  <c r="D82" i="14" a="1"/>
  <c r="D82" i="14"/>
  <c r="C83" i="14"/>
  <c r="D83" i="14" a="1"/>
  <c r="D83" i="14"/>
  <c r="C84" i="14"/>
  <c r="D84" i="14" a="1"/>
  <c r="D84" i="14"/>
  <c r="C85" i="14"/>
  <c r="D85" i="14" a="1"/>
  <c r="D85" i="14"/>
  <c r="C86" i="14"/>
  <c r="D86" i="14" a="1"/>
  <c r="D86" i="14"/>
  <c r="C87" i="14"/>
  <c r="D87" i="14" a="1"/>
  <c r="D87" i="14"/>
  <c r="C88" i="14"/>
  <c r="D88" i="14" a="1"/>
  <c r="D88" i="14"/>
  <c r="C89" i="14"/>
  <c r="D89" i="14" a="1"/>
  <c r="D89" i="14"/>
  <c r="C90" i="14"/>
  <c r="D90" i="14" a="1"/>
  <c r="D90" i="14"/>
  <c r="C91" i="14"/>
  <c r="D91" i="14" a="1"/>
  <c r="D91" i="14"/>
  <c r="C92" i="14"/>
  <c r="D92" i="14" a="1"/>
  <c r="D92" i="14"/>
  <c r="C93" i="14"/>
  <c r="D93" i="14" a="1"/>
  <c r="D93" i="14"/>
  <c r="C94" i="14"/>
  <c r="D94" i="14" a="1"/>
  <c r="D94" i="14"/>
  <c r="C95" i="14"/>
  <c r="D95" i="14" a="1"/>
  <c r="D95" i="14"/>
  <c r="C96" i="14"/>
  <c r="D96" i="14" a="1"/>
  <c r="D96" i="14"/>
  <c r="C97" i="14"/>
  <c r="D97" i="14" a="1"/>
  <c r="D97" i="14"/>
  <c r="C98" i="14"/>
  <c r="D98" i="14" a="1"/>
  <c r="D98" i="14"/>
  <c r="C99" i="14"/>
  <c r="D99" i="14" a="1"/>
  <c r="D99" i="14"/>
  <c r="C100" i="14"/>
  <c r="D100" i="14" a="1"/>
  <c r="D100" i="14"/>
  <c r="C101" i="14"/>
  <c r="D101" i="14" a="1"/>
  <c r="D101" i="14"/>
  <c r="C102" i="14"/>
  <c r="D102" i="14" a="1"/>
  <c r="D102" i="14"/>
  <c r="C103" i="14"/>
  <c r="D103" i="14" a="1"/>
  <c r="D103" i="14"/>
  <c r="C104" i="14"/>
  <c r="D104" i="14" a="1"/>
  <c r="D104" i="14"/>
  <c r="C105" i="14"/>
  <c r="D105" i="14" a="1"/>
  <c r="D105" i="14"/>
  <c r="C106" i="14"/>
  <c r="D106" i="14" a="1"/>
  <c r="D106" i="14"/>
  <c r="C107" i="14"/>
  <c r="D107" i="14" a="1"/>
  <c r="D107" i="14"/>
  <c r="C108" i="14"/>
  <c r="D108" i="14" a="1"/>
  <c r="D108" i="14"/>
  <c r="C109" i="14"/>
  <c r="D109" i="14" a="1"/>
  <c r="D109" i="14"/>
  <c r="C110" i="14"/>
  <c r="D110" i="14" a="1"/>
  <c r="D110" i="14"/>
  <c r="C111" i="14"/>
  <c r="D111" i="14" a="1"/>
  <c r="D111" i="14"/>
  <c r="C112" i="14"/>
  <c r="D112" i="14" a="1"/>
  <c r="D112" i="14"/>
  <c r="C113" i="14"/>
  <c r="D113" i="14" a="1"/>
  <c r="D113" i="14"/>
  <c r="C114" i="14"/>
  <c r="D114" i="14" a="1"/>
  <c r="D114" i="14"/>
  <c r="C115" i="14"/>
  <c r="D115" i="14" a="1"/>
  <c r="D115" i="14"/>
  <c r="C116" i="14"/>
  <c r="D116" i="14" a="1"/>
  <c r="D116" i="14"/>
  <c r="C117" i="14"/>
  <c r="D117" i="14" a="1"/>
  <c r="D117" i="14"/>
  <c r="C118" i="14"/>
  <c r="D118" i="14" a="1"/>
  <c r="D118" i="14"/>
  <c r="C119" i="14"/>
  <c r="D119" i="14" a="1"/>
  <c r="D119" i="14"/>
  <c r="C120" i="14"/>
  <c r="D120" i="14" a="1"/>
  <c r="D120" i="14"/>
  <c r="C121" i="14"/>
  <c r="D121" i="14" a="1"/>
  <c r="D121" i="14"/>
  <c r="C122" i="14"/>
  <c r="D122" i="14" a="1"/>
  <c r="D122" i="14"/>
  <c r="C123" i="14"/>
  <c r="D123" i="14" a="1"/>
  <c r="D123" i="14"/>
  <c r="C124" i="14"/>
  <c r="D124" i="14" a="1"/>
  <c r="D124" i="14"/>
  <c r="C125" i="14"/>
  <c r="D125" i="14" a="1"/>
  <c r="D125" i="14"/>
  <c r="C126" i="14"/>
  <c r="D126" i="14" a="1"/>
  <c r="D126" i="14"/>
  <c r="C127" i="14"/>
  <c r="D127" i="14" a="1"/>
  <c r="D127" i="14"/>
  <c r="C128" i="14"/>
  <c r="D128" i="14" a="1"/>
  <c r="D128" i="14"/>
  <c r="C129" i="14"/>
  <c r="D129" i="14" a="1"/>
  <c r="D129" i="14"/>
  <c r="C130" i="14"/>
  <c r="D130" i="14" a="1"/>
  <c r="D130" i="14"/>
  <c r="C131" i="14"/>
  <c r="D131" i="14" a="1"/>
  <c r="D131" i="14"/>
  <c r="C132" i="14"/>
  <c r="D132" i="14" a="1"/>
  <c r="D132" i="14"/>
  <c r="C133" i="14"/>
  <c r="D133" i="14" a="1"/>
  <c r="D133" i="14"/>
  <c r="C134" i="14"/>
  <c r="D134" i="14" a="1"/>
  <c r="D134" i="14"/>
  <c r="C135" i="14"/>
  <c r="D135" i="14" a="1"/>
  <c r="D135" i="14"/>
  <c r="C136" i="14"/>
  <c r="D136" i="14" a="1"/>
  <c r="D136" i="14"/>
  <c r="C137" i="14"/>
  <c r="D137" i="14" a="1"/>
  <c r="D137" i="14"/>
  <c r="C138" i="14"/>
  <c r="D138" i="14" a="1"/>
  <c r="D138" i="14"/>
  <c r="C139" i="14"/>
  <c r="D139" i="14" a="1"/>
  <c r="D139" i="14"/>
  <c r="C140" i="14"/>
  <c r="D140" i="14" a="1"/>
  <c r="D140" i="14"/>
  <c r="C141" i="14"/>
  <c r="D141" i="14" a="1"/>
  <c r="D141" i="14"/>
  <c r="C142" i="14"/>
  <c r="D142" i="14" a="1"/>
  <c r="D142" i="14"/>
  <c r="C143" i="14"/>
  <c r="D143" i="14" a="1"/>
  <c r="D143" i="14"/>
  <c r="C144" i="14"/>
  <c r="D144" i="14" a="1"/>
  <c r="D144" i="14"/>
  <c r="C145" i="14"/>
  <c r="D145" i="14" a="1"/>
  <c r="D145" i="14"/>
  <c r="C146" i="14"/>
  <c r="D146" i="14" a="1"/>
  <c r="D146" i="14"/>
  <c r="C147" i="14"/>
  <c r="D147" i="14" a="1"/>
  <c r="D147" i="14"/>
  <c r="C148" i="14"/>
  <c r="D148" i="14" a="1"/>
  <c r="D148" i="14"/>
  <c r="C149" i="14"/>
  <c r="D149" i="14" a="1"/>
  <c r="D149" i="14"/>
  <c r="C150" i="14"/>
  <c r="D150" i="14" a="1"/>
  <c r="D150" i="14"/>
  <c r="C151" i="14"/>
  <c r="D151" i="14" a="1"/>
  <c r="D151" i="14"/>
  <c r="C152" i="14"/>
  <c r="D152" i="14" a="1"/>
  <c r="D152" i="14"/>
  <c r="C153" i="14"/>
  <c r="D153" i="14" a="1"/>
  <c r="D153" i="14"/>
  <c r="C154" i="14"/>
  <c r="D154" i="14" a="1"/>
  <c r="D154" i="14"/>
  <c r="C155" i="14"/>
  <c r="D155" i="14" a="1"/>
  <c r="D155" i="14"/>
  <c r="C156" i="14"/>
  <c r="D156" i="14" a="1"/>
  <c r="D156" i="14"/>
  <c r="C157" i="14"/>
  <c r="D157" i="14" a="1"/>
  <c r="D157" i="14"/>
  <c r="C158" i="14"/>
  <c r="D158" i="14" a="1"/>
  <c r="D158" i="14"/>
  <c r="C159" i="14"/>
  <c r="D159" i="14" a="1"/>
  <c r="D159" i="14"/>
  <c r="C160" i="14"/>
  <c r="D160" i="14" a="1"/>
  <c r="D160" i="14"/>
  <c r="C161" i="14"/>
  <c r="D161" i="14" a="1"/>
  <c r="D161" i="14"/>
  <c r="C162" i="14"/>
  <c r="D162" i="14" a="1"/>
  <c r="D162" i="14"/>
  <c r="C163" i="14"/>
  <c r="D163" i="14" a="1"/>
  <c r="D163" i="14"/>
  <c r="C164" i="14"/>
  <c r="D164" i="14" a="1"/>
  <c r="D164" i="14"/>
  <c r="C165" i="14"/>
  <c r="D165" i="14" a="1"/>
  <c r="D165" i="14"/>
  <c r="C166" i="14"/>
  <c r="D166" i="14" a="1"/>
  <c r="D166" i="14"/>
  <c r="C167" i="14"/>
  <c r="D167" i="14" a="1"/>
  <c r="D167" i="14"/>
  <c r="C168" i="14"/>
  <c r="D168" i="14" a="1"/>
  <c r="D168" i="14"/>
  <c r="C169" i="14"/>
  <c r="D169" i="14" a="1"/>
  <c r="D169" i="14"/>
  <c r="C170" i="14"/>
  <c r="D170" i="14" a="1"/>
  <c r="D170" i="14"/>
  <c r="C171" i="14"/>
  <c r="D171" i="14" a="1"/>
  <c r="D171" i="14"/>
  <c r="C172" i="14"/>
  <c r="D172" i="14" a="1"/>
  <c r="D172" i="14"/>
  <c r="C173" i="14"/>
  <c r="D173" i="14" a="1"/>
  <c r="D173" i="14"/>
  <c r="C174" i="14"/>
  <c r="D174" i="14" a="1"/>
  <c r="D174" i="14"/>
  <c r="C175" i="14"/>
  <c r="D175" i="14" a="1"/>
  <c r="D175" i="14"/>
  <c r="C176" i="14"/>
  <c r="D176" i="14" a="1"/>
  <c r="D176" i="14"/>
  <c r="C177" i="14"/>
  <c r="D177" i="14" a="1"/>
  <c r="D177" i="14"/>
  <c r="C178" i="14"/>
  <c r="D178" i="14" a="1"/>
  <c r="D178" i="14"/>
  <c r="C179" i="14"/>
  <c r="D179" i="14" a="1"/>
  <c r="D179" i="14"/>
  <c r="C180" i="14"/>
  <c r="D180" i="14" a="1"/>
  <c r="D180" i="14"/>
  <c r="C181" i="14"/>
  <c r="D181" i="14" a="1"/>
  <c r="D181" i="14"/>
  <c r="C182" i="14"/>
  <c r="D182" i="14" a="1"/>
  <c r="D182" i="14"/>
  <c r="C183" i="14"/>
  <c r="D183" i="14" a="1"/>
  <c r="D183" i="14"/>
  <c r="C184" i="14"/>
  <c r="D184" i="14" a="1"/>
  <c r="D184" i="14"/>
  <c r="C185" i="14"/>
  <c r="D185" i="14" a="1"/>
  <c r="D185" i="14"/>
  <c r="C186" i="14"/>
  <c r="D186" i="14" a="1"/>
  <c r="D186" i="14"/>
  <c r="C187" i="14"/>
  <c r="D187" i="14" a="1"/>
  <c r="D187" i="14"/>
  <c r="C188" i="14"/>
  <c r="D188" i="14" a="1"/>
  <c r="D188" i="14"/>
  <c r="C189" i="14"/>
  <c r="D189" i="14" a="1"/>
  <c r="D189" i="14"/>
  <c r="C190" i="14"/>
  <c r="D190" i="14" a="1"/>
  <c r="D190" i="14"/>
  <c r="C191" i="14"/>
  <c r="D191" i="14" a="1"/>
  <c r="D191" i="14"/>
  <c r="C192" i="14"/>
  <c r="D192" i="14" a="1"/>
  <c r="D192" i="14"/>
  <c r="C193" i="14"/>
  <c r="D193" i="14" a="1"/>
  <c r="D193" i="14"/>
  <c r="C194" i="14"/>
  <c r="D194" i="14" a="1"/>
  <c r="D194" i="14"/>
  <c r="C195" i="14"/>
  <c r="D195" i="14" a="1"/>
  <c r="D195" i="14"/>
  <c r="C196" i="14"/>
  <c r="D196" i="14" a="1"/>
  <c r="D196" i="14"/>
  <c r="C197" i="14"/>
  <c r="D197" i="14" a="1"/>
  <c r="D197" i="14"/>
  <c r="C198" i="14"/>
  <c r="D198" i="14" a="1"/>
  <c r="D198" i="14"/>
  <c r="C199" i="14"/>
  <c r="D199" i="14" a="1"/>
  <c r="D199" i="14"/>
  <c r="C200" i="14"/>
  <c r="D200" i="14" a="1"/>
  <c r="D200" i="14"/>
  <c r="C201" i="14"/>
  <c r="D201" i="14" a="1"/>
  <c r="D201" i="14"/>
  <c r="C202" i="14"/>
  <c r="D202" i="14" a="1"/>
  <c r="D202" i="14"/>
  <c r="C203" i="14"/>
  <c r="D203" i="14" a="1"/>
  <c r="D203" i="14"/>
  <c r="C204" i="14"/>
  <c r="D204" i="14" a="1"/>
  <c r="D204" i="14"/>
  <c r="C205" i="14"/>
  <c r="D205" i="14" a="1"/>
  <c r="D205" i="14"/>
  <c r="C206" i="14"/>
  <c r="D206" i="14" a="1"/>
  <c r="D206" i="14"/>
  <c r="C207" i="14"/>
  <c r="D207" i="14" a="1"/>
  <c r="D207" i="14"/>
  <c r="C208" i="14"/>
  <c r="D208" i="14" a="1"/>
  <c r="D208" i="14"/>
  <c r="C209" i="14"/>
  <c r="D209" i="14" a="1"/>
  <c r="D209" i="14"/>
  <c r="C210" i="14"/>
  <c r="D210" i="14" a="1"/>
  <c r="D210" i="14"/>
  <c r="C211" i="14"/>
  <c r="D211" i="14" a="1"/>
  <c r="D211" i="14"/>
  <c r="C212" i="14"/>
  <c r="D212" i="14" a="1"/>
  <c r="D212" i="14"/>
  <c r="C213" i="14"/>
  <c r="D213" i="14" a="1"/>
  <c r="D213" i="14"/>
  <c r="C214" i="14"/>
  <c r="D214" i="14" a="1"/>
  <c r="D214" i="14"/>
  <c r="C215" i="14"/>
  <c r="D215" i="14" a="1"/>
  <c r="D215" i="14"/>
  <c r="C216" i="14"/>
  <c r="D216" i="14" a="1"/>
  <c r="D216" i="14"/>
  <c r="C217" i="14"/>
  <c r="D217" i="14" a="1"/>
  <c r="D217" i="14"/>
  <c r="C218" i="14"/>
  <c r="D218" i="14" a="1"/>
  <c r="D218" i="14"/>
  <c r="C219" i="14"/>
  <c r="D219" i="14" a="1"/>
  <c r="D219" i="14"/>
  <c r="C220" i="14"/>
  <c r="D220" i="14" a="1"/>
  <c r="D220" i="14"/>
  <c r="C221" i="14"/>
  <c r="D221" i="14" a="1"/>
  <c r="D221" i="14"/>
  <c r="C222" i="14"/>
  <c r="D222" i="14" a="1"/>
  <c r="D222" i="14"/>
  <c r="C223" i="14"/>
  <c r="D223" i="14" a="1"/>
  <c r="D223" i="14"/>
  <c r="C224" i="14"/>
  <c r="D224" i="14" a="1"/>
  <c r="D224" i="14"/>
  <c r="C225" i="14"/>
  <c r="D225" i="14" a="1"/>
  <c r="D225" i="14"/>
  <c r="C226" i="14"/>
  <c r="D226" i="14" a="1"/>
  <c r="D226" i="14"/>
  <c r="C227" i="14"/>
  <c r="D227" i="14" a="1"/>
  <c r="D227" i="14"/>
  <c r="C228" i="14"/>
  <c r="D228" i="14" a="1"/>
  <c r="D228" i="14"/>
  <c r="C229" i="14"/>
  <c r="D229" i="14" a="1"/>
  <c r="D229" i="14"/>
  <c r="C230" i="14"/>
  <c r="D230" i="14" a="1"/>
  <c r="D230" i="14"/>
  <c r="C231" i="14"/>
  <c r="D231" i="14" a="1"/>
  <c r="D231" i="14"/>
  <c r="C232" i="14"/>
  <c r="D232" i="14" a="1"/>
  <c r="D232" i="14"/>
  <c r="C233" i="14"/>
  <c r="D233" i="14" a="1"/>
  <c r="D233" i="14"/>
  <c r="C234" i="14"/>
  <c r="D234" i="14" a="1"/>
  <c r="D234" i="14"/>
  <c r="C235" i="14"/>
  <c r="D235" i="14" a="1"/>
  <c r="D235" i="14"/>
  <c r="C236" i="14"/>
  <c r="D236" i="14" a="1"/>
  <c r="D236" i="14"/>
  <c r="C237" i="14"/>
  <c r="D237" i="14" a="1"/>
  <c r="D237" i="14"/>
  <c r="C238" i="14"/>
  <c r="D238" i="14" a="1"/>
  <c r="D238" i="14"/>
  <c r="C239" i="14"/>
  <c r="D239" i="14" a="1"/>
  <c r="D239" i="14"/>
  <c r="C240" i="14"/>
  <c r="D240" i="14" a="1"/>
  <c r="D240" i="14"/>
  <c r="C241" i="14"/>
  <c r="D241" i="14" a="1"/>
  <c r="D241" i="14"/>
  <c r="C242" i="14"/>
  <c r="D242" i="14" a="1"/>
  <c r="D242" i="14"/>
  <c r="C106"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M3" i="10"/>
  <c r="Q3" i="10"/>
  <c r="M43" i="3"/>
  <c r="M42" i="3"/>
  <c r="M41" i="3"/>
  <c r="M40" i="3"/>
  <c r="Q3" i="4"/>
  <c r="X4" i="3"/>
  <c r="X5" i="3"/>
  <c r="X3" i="3"/>
  <c r="W4" i="3"/>
  <c r="W5" i="3"/>
  <c r="W3"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H4" i="3"/>
  <c r="H3" i="3"/>
  <c r="S3" i="3"/>
  <c r="R3" i="3"/>
  <c r="Q3" i="3"/>
  <c r="S4" i="3"/>
  <c r="R4" i="3"/>
  <c r="Q4" i="3"/>
  <c r="L5" i="3"/>
  <c r="M4" i="3"/>
  <c r="M3" i="3"/>
  <c r="L17" i="12"/>
  <c r="H3" i="10"/>
  <c r="L21" i="12"/>
  <c r="M44" i="12" a="1"/>
  <c r="M44" i="12"/>
  <c r="N44" i="12" a="1"/>
  <c r="N44" i="12"/>
  <c r="O44" i="12" a="1"/>
  <c r="O44" i="12"/>
  <c r="P44" i="12" a="1"/>
  <c r="P44" i="12"/>
  <c r="Q44" i="12" a="1"/>
  <c r="Q44" i="12"/>
  <c r="R44" i="12" a="1"/>
  <c r="R44" i="12"/>
  <c r="R45" i="12"/>
  <c r="S44" i="12" a="1"/>
  <c r="S44" i="12"/>
  <c r="T44" i="12" a="1"/>
  <c r="T44" i="12"/>
  <c r="U44" i="12" a="1"/>
  <c r="U44" i="12"/>
  <c r="V44" i="12" a="1"/>
  <c r="V44" i="12"/>
  <c r="W44" i="12" a="1"/>
  <c r="W44" i="12"/>
  <c r="X44" i="12" a="1"/>
  <c r="X44" i="12"/>
  <c r="Y44" i="12" a="1"/>
  <c r="Y44" i="12"/>
  <c r="Z44" i="12" a="1"/>
  <c r="Z44" i="12"/>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H3" i="1"/>
  <c r="L15" i="12"/>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H3" i="4"/>
  <c r="L18" i="12"/>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H3" i="7"/>
  <c r="L19" i="12"/>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H3" i="11"/>
  <c r="L22" i="12"/>
  <c r="Q46" i="12"/>
  <c r="U27" i="12"/>
  <c r="E15" i="14"/>
  <c r="E16" i="14"/>
  <c r="E17" i="14"/>
  <c r="E18" i="14"/>
  <c r="E19" i="14"/>
  <c r="E20" i="14"/>
  <c r="D21" i="14" a="1"/>
  <c r="D21" i="14"/>
  <c r="E21" i="14"/>
  <c r="E22" i="14"/>
  <c r="D23" i="14" a="1"/>
  <c r="D23" i="14"/>
  <c r="E23" i="14"/>
  <c r="D24" i="14" a="1"/>
  <c r="D24" i="14"/>
  <c r="E24" i="14"/>
  <c r="D25" i="14" a="1"/>
  <c r="D25" i="14"/>
  <c r="E25" i="14"/>
  <c r="D26" i="14" a="1"/>
  <c r="D26" i="14"/>
  <c r="E26" i="14"/>
  <c r="D15" i="14" a="1"/>
  <c r="D15" i="14"/>
  <c r="E242" i="14"/>
  <c r="D16" i="14" a="1"/>
  <c r="D16" i="14"/>
  <c r="E219" i="14"/>
  <c r="E196" i="14"/>
  <c r="E185" i="14"/>
  <c r="E174" i="14"/>
  <c r="E162" i="14"/>
  <c r="E150" i="14"/>
  <c r="E138" i="14"/>
  <c r="E127" i="14"/>
  <c r="E116" i="14"/>
  <c r="E93" i="14"/>
  <c r="E82" i="14"/>
  <c r="E70" i="14"/>
  <c r="E58" i="14"/>
  <c r="E48" i="14"/>
  <c r="E36" i="14"/>
  <c r="E195" i="14"/>
  <c r="E137" i="14"/>
  <c r="E69" i="14"/>
  <c r="E241" i="14"/>
  <c r="E229" i="14"/>
  <c r="E217" i="14"/>
  <c r="E205" i="14"/>
  <c r="E183" i="14"/>
  <c r="E172" i="14"/>
  <c r="E160" i="14"/>
  <c r="E148" i="14"/>
  <c r="E136" i="14"/>
  <c r="E125" i="14"/>
  <c r="E114" i="14"/>
  <c r="E103" i="14"/>
  <c r="E91" i="14"/>
  <c r="E80" i="14"/>
  <c r="E68" i="14"/>
  <c r="E46" i="14"/>
  <c r="E34" i="14"/>
  <c r="E231" i="14"/>
  <c r="E184" i="14"/>
  <c r="E104" i="14"/>
  <c r="E81" i="14"/>
  <c r="E240" i="14"/>
  <c r="E228" i="14"/>
  <c r="E216" i="14"/>
  <c r="E204" i="14"/>
  <c r="E194" i="14"/>
  <c r="E182" i="14"/>
  <c r="E171" i="14"/>
  <c r="E159" i="14"/>
  <c r="E147" i="14"/>
  <c r="E135" i="14"/>
  <c r="E124" i="14"/>
  <c r="E113" i="14"/>
  <c r="E102" i="14"/>
  <c r="E90" i="14"/>
  <c r="E79" i="14"/>
  <c r="E67" i="14"/>
  <c r="E56" i="14"/>
  <c r="E45" i="14"/>
  <c r="E33" i="14"/>
  <c r="E173" i="14"/>
  <c r="E35" i="14"/>
  <c r="E239" i="14"/>
  <c r="E227" i="14"/>
  <c r="E215" i="14"/>
  <c r="E203" i="14"/>
  <c r="E193" i="14"/>
  <c r="E181" i="14"/>
  <c r="E170" i="14"/>
  <c r="E158" i="14"/>
  <c r="E146" i="14"/>
  <c r="E134" i="14"/>
  <c r="E123" i="14"/>
  <c r="E112" i="14"/>
  <c r="E101" i="14"/>
  <c r="E89" i="14"/>
  <c r="E78" i="14"/>
  <c r="E66" i="14"/>
  <c r="E55" i="14"/>
  <c r="E44" i="14"/>
  <c r="E230" i="14"/>
  <c r="E149" i="14"/>
  <c r="E57" i="14"/>
  <c r="E238" i="14"/>
  <c r="E226" i="14"/>
  <c r="E214" i="14"/>
  <c r="E202" i="14"/>
  <c r="E192" i="14"/>
  <c r="E180" i="14"/>
  <c r="E169" i="14"/>
  <c r="E157" i="14"/>
  <c r="E145" i="14"/>
  <c r="E133" i="14"/>
  <c r="E111" i="14"/>
  <c r="E100" i="14"/>
  <c r="E88" i="14"/>
  <c r="E77" i="14"/>
  <c r="E65" i="14"/>
  <c r="E54" i="14"/>
  <c r="E43" i="14"/>
  <c r="E32" i="14"/>
  <c r="E206" i="14"/>
  <c r="E126" i="14"/>
  <c r="E47" i="14"/>
  <c r="E237" i="14"/>
  <c r="E225" i="14"/>
  <c r="E213" i="14"/>
  <c r="E201" i="14"/>
  <c r="E191" i="14"/>
  <c r="E179" i="14"/>
  <c r="E168" i="14"/>
  <c r="E156" i="14"/>
  <c r="E144" i="14"/>
  <c r="E132" i="14"/>
  <c r="E122" i="14"/>
  <c r="E110" i="14"/>
  <c r="E99" i="14"/>
  <c r="E87" i="14"/>
  <c r="E76" i="14"/>
  <c r="E64" i="14"/>
  <c r="E53" i="14"/>
  <c r="E42" i="14"/>
  <c r="E31" i="14"/>
  <c r="D20" i="14" a="1"/>
  <c r="D20" i="14"/>
  <c r="E218" i="14"/>
  <c r="E115" i="14"/>
  <c r="E224" i="14"/>
  <c r="E190" i="14"/>
  <c r="E178" i="14"/>
  <c r="E167" i="14"/>
  <c r="E155" i="14"/>
  <c r="E143" i="14"/>
  <c r="E131" i="14"/>
  <c r="E121" i="14"/>
  <c r="E109" i="14"/>
  <c r="E98" i="14"/>
  <c r="E75" i="14"/>
  <c r="E63" i="14"/>
  <c r="E52" i="14"/>
  <c r="E41" i="14"/>
  <c r="E30" i="14"/>
  <c r="D19" i="14" a="1"/>
  <c r="D19" i="14"/>
  <c r="E161" i="14"/>
  <c r="E92" i="14"/>
  <c r="E236" i="14"/>
  <c r="E212" i="14"/>
  <c r="E235" i="14"/>
  <c r="E223" i="14"/>
  <c r="E211" i="14"/>
  <c r="E200" i="14"/>
  <c r="E189" i="14"/>
  <c r="E177" i="14"/>
  <c r="E166" i="14"/>
  <c r="E154" i="14"/>
  <c r="E142" i="14"/>
  <c r="E130" i="14"/>
  <c r="E120" i="14"/>
  <c r="E108" i="14"/>
  <c r="E97" i="14"/>
  <c r="E86" i="14"/>
  <c r="E74" i="14"/>
  <c r="E62" i="14"/>
  <c r="E51" i="14"/>
  <c r="E40" i="14"/>
  <c r="E29" i="14"/>
  <c r="D18" i="14" a="1"/>
  <c r="D18" i="14"/>
  <c r="E119" i="14"/>
  <c r="E107" i="14"/>
  <c r="E96" i="14"/>
  <c r="E85" i="14"/>
  <c r="E73" i="14"/>
  <c r="E61" i="14"/>
  <c r="E39" i="14"/>
  <c r="D17" i="14" a="1"/>
  <c r="D17" i="14"/>
  <c r="E234" i="14"/>
  <c r="E222" i="14"/>
  <c r="E199" i="14"/>
  <c r="E165" i="14"/>
  <c r="E141" i="14"/>
  <c r="E129" i="14"/>
  <c r="E233" i="14"/>
  <c r="E221" i="14"/>
  <c r="E209" i="14"/>
  <c r="E198" i="14"/>
  <c r="E187" i="14"/>
  <c r="E176" i="14"/>
  <c r="E164" i="14"/>
  <c r="E152" i="14"/>
  <c r="E140" i="14"/>
  <c r="E118" i="14"/>
  <c r="E106" i="14"/>
  <c r="E95" i="14"/>
  <c r="E84" i="14"/>
  <c r="E72" i="14"/>
  <c r="E60" i="14"/>
  <c r="E50" i="14"/>
  <c r="E38" i="14"/>
  <c r="E207" i="14"/>
  <c r="E210" i="14"/>
  <c r="E188" i="14"/>
  <c r="E153" i="14"/>
  <c r="E232" i="14"/>
  <c r="E220" i="14"/>
  <c r="E208" i="14"/>
  <c r="E197" i="14"/>
  <c r="E186" i="14"/>
  <c r="E175" i="14"/>
  <c r="E163" i="14"/>
  <c r="E151" i="14"/>
  <c r="E139" i="14"/>
  <c r="E128" i="14"/>
  <c r="E117" i="14"/>
  <c r="E105" i="14"/>
  <c r="E94" i="14"/>
  <c r="E83" i="14"/>
  <c r="E71" i="14"/>
  <c r="E59" i="14"/>
  <c r="E49" i="14"/>
  <c r="E37" i="14"/>
  <c r="N23" i="12"/>
  <c r="M45" i="12"/>
  <c r="N45" i="12"/>
  <c r="O45" i="12"/>
  <c r="P45" i="12"/>
  <c r="Q45" i="12"/>
  <c r="S45" i="12"/>
  <c r="T45" i="12"/>
  <c r="U45" i="12"/>
  <c r="V45" i="12"/>
  <c r="W45" i="12"/>
  <c r="X45" i="12"/>
  <c r="Y45" i="12"/>
  <c r="Z45" i="12"/>
  <c r="X5" i="11"/>
  <c r="W5" i="11"/>
  <c r="X4" i="11"/>
  <c r="W4" i="11"/>
  <c r="X3" i="11"/>
  <c r="W3" i="11"/>
  <c r="Q3" i="11"/>
  <c r="S4" i="11"/>
  <c r="R4" i="11"/>
  <c r="Q4" i="11"/>
  <c r="S3" i="11"/>
  <c r="R3" i="11"/>
  <c r="M4" i="11"/>
  <c r="N4" i="11"/>
  <c r="M3" i="11"/>
  <c r="L5" i="11"/>
  <c r="M47" i="11"/>
  <c r="M46" i="11"/>
  <c r="M45" i="11"/>
  <c r="M44" i="11"/>
  <c r="H4" i="11"/>
  <c r="N3" i="11"/>
  <c r="X4" i="10"/>
  <c r="X5" i="10"/>
  <c r="X3" i="10"/>
  <c r="W4" i="10"/>
  <c r="W5" i="10"/>
  <c r="W3" i="10"/>
  <c r="S4" i="10"/>
  <c r="R4" i="10"/>
  <c r="Q4" i="10"/>
  <c r="S3" i="10"/>
  <c r="R3" i="10"/>
  <c r="M4" i="10"/>
  <c r="L5" i="10"/>
  <c r="M47" i="10"/>
  <c r="M46" i="10"/>
  <c r="M45" i="10"/>
  <c r="M44" i="10"/>
  <c r="N4" i="10"/>
  <c r="H4" i="10"/>
  <c r="N3" i="10"/>
  <c r="M47" i="6"/>
  <c r="M46" i="6"/>
  <c r="M45" i="6"/>
  <c r="M44" i="6"/>
  <c r="X5" i="6"/>
  <c r="W5" i="6"/>
  <c r="L5" i="6"/>
  <c r="X4" i="6"/>
  <c r="W4" i="6"/>
  <c r="S4" i="6"/>
  <c r="R4" i="6"/>
  <c r="Q4" i="6"/>
  <c r="M4" i="6"/>
  <c r="N4" i="6"/>
  <c r="H4" i="6"/>
  <c r="X3" i="6"/>
  <c r="W3" i="6"/>
  <c r="S3" i="6"/>
  <c r="R3" i="6"/>
  <c r="Q3" i="6"/>
  <c r="M3" i="6"/>
  <c r="N3" i="6"/>
  <c r="M47" i="7"/>
  <c r="M46" i="7"/>
  <c r="M45" i="7"/>
  <c r="M44" i="7"/>
  <c r="X5" i="7"/>
  <c r="W5" i="7"/>
  <c r="L5" i="7"/>
  <c r="X4" i="7"/>
  <c r="W4" i="7"/>
  <c r="S4" i="7"/>
  <c r="R4" i="7"/>
  <c r="Q4" i="7"/>
  <c r="M4" i="7"/>
  <c r="N4" i="7"/>
  <c r="H4" i="7"/>
  <c r="X3" i="7"/>
  <c r="W3" i="7"/>
  <c r="S3" i="7"/>
  <c r="R3" i="7"/>
  <c r="Q3" i="7"/>
  <c r="M3" i="7"/>
  <c r="N3" i="7"/>
  <c r="M47" i="5"/>
  <c r="M46" i="5"/>
  <c r="M45" i="5"/>
  <c r="M44" i="5"/>
  <c r="C166" i="5"/>
  <c r="E166" i="5"/>
  <c r="F166" i="5"/>
  <c r="C165" i="5"/>
  <c r="E165" i="5"/>
  <c r="F165" i="5"/>
  <c r="C164" i="5"/>
  <c r="E164" i="5"/>
  <c r="F164" i="5"/>
  <c r="C163" i="5"/>
  <c r="E163" i="5"/>
  <c r="F163" i="5"/>
  <c r="C162" i="5"/>
  <c r="E162" i="5"/>
  <c r="F162" i="5"/>
  <c r="C161" i="5"/>
  <c r="E161" i="5"/>
  <c r="F161" i="5"/>
  <c r="C160" i="5"/>
  <c r="E160" i="5"/>
  <c r="F160" i="5"/>
  <c r="C159" i="5"/>
  <c r="E159" i="5"/>
  <c r="F159" i="5"/>
  <c r="C158" i="5"/>
  <c r="E158" i="5"/>
  <c r="F158" i="5"/>
  <c r="C157" i="5"/>
  <c r="E157" i="5"/>
  <c r="F157" i="5"/>
  <c r="C156" i="5"/>
  <c r="E156" i="5"/>
  <c r="F156" i="5"/>
  <c r="C155" i="5"/>
  <c r="E155" i="5"/>
  <c r="F155" i="5"/>
  <c r="C154" i="5"/>
  <c r="E154" i="5"/>
  <c r="F154" i="5"/>
  <c r="C153" i="5"/>
  <c r="E153" i="5"/>
  <c r="F153" i="5"/>
  <c r="C152" i="5"/>
  <c r="E152" i="5"/>
  <c r="F152" i="5"/>
  <c r="C151" i="5"/>
  <c r="E151" i="5"/>
  <c r="F151" i="5"/>
  <c r="C150" i="5"/>
  <c r="E150" i="5"/>
  <c r="F150" i="5"/>
  <c r="C149" i="5"/>
  <c r="E149" i="5"/>
  <c r="F149" i="5"/>
  <c r="C148" i="5"/>
  <c r="E148" i="5"/>
  <c r="F148" i="5"/>
  <c r="C147" i="5"/>
  <c r="E147" i="5"/>
  <c r="F147" i="5"/>
  <c r="C146" i="5"/>
  <c r="E146" i="5"/>
  <c r="F146" i="5"/>
  <c r="C145" i="5"/>
  <c r="E145" i="5"/>
  <c r="F145" i="5"/>
  <c r="C144" i="5"/>
  <c r="E144" i="5"/>
  <c r="F144" i="5"/>
  <c r="C143" i="5"/>
  <c r="E143" i="5"/>
  <c r="F143" i="5"/>
  <c r="C142" i="5"/>
  <c r="E142" i="5"/>
  <c r="F142" i="5"/>
  <c r="C141" i="5"/>
  <c r="E141" i="5"/>
  <c r="F141" i="5"/>
  <c r="C140" i="5"/>
  <c r="E140" i="5"/>
  <c r="F140" i="5"/>
  <c r="C139" i="5"/>
  <c r="E139" i="5"/>
  <c r="F139" i="5"/>
  <c r="C138" i="5"/>
  <c r="E138" i="5"/>
  <c r="F138" i="5"/>
  <c r="C137" i="5"/>
  <c r="E137" i="5"/>
  <c r="F137" i="5"/>
  <c r="C136" i="5"/>
  <c r="E136" i="5"/>
  <c r="F136" i="5"/>
  <c r="C135" i="5"/>
  <c r="E135" i="5"/>
  <c r="F135" i="5"/>
  <c r="C134" i="5"/>
  <c r="E134" i="5"/>
  <c r="F134" i="5"/>
  <c r="C133" i="5"/>
  <c r="E133" i="5"/>
  <c r="F133" i="5"/>
  <c r="C132" i="5"/>
  <c r="E132" i="5"/>
  <c r="F132" i="5"/>
  <c r="C131" i="5"/>
  <c r="E131" i="5"/>
  <c r="F131" i="5"/>
  <c r="C130" i="5"/>
  <c r="E130" i="5"/>
  <c r="F130" i="5"/>
  <c r="C129" i="5"/>
  <c r="E129" i="5"/>
  <c r="F129" i="5"/>
  <c r="C128" i="5"/>
  <c r="E128" i="5"/>
  <c r="F128" i="5"/>
  <c r="C127" i="5"/>
  <c r="E127" i="5"/>
  <c r="F127" i="5"/>
  <c r="C126" i="5"/>
  <c r="E126" i="5"/>
  <c r="F126" i="5"/>
  <c r="C125" i="5"/>
  <c r="E125" i="5"/>
  <c r="F125" i="5"/>
  <c r="C124" i="5"/>
  <c r="E124" i="5"/>
  <c r="F124" i="5"/>
  <c r="C123" i="5"/>
  <c r="E123" i="5"/>
  <c r="F123" i="5"/>
  <c r="C122" i="5"/>
  <c r="E122" i="5"/>
  <c r="F122" i="5"/>
  <c r="C121" i="5"/>
  <c r="E121" i="5"/>
  <c r="F121" i="5"/>
  <c r="C120" i="5"/>
  <c r="E120" i="5"/>
  <c r="F120" i="5"/>
  <c r="C119" i="5"/>
  <c r="E119" i="5"/>
  <c r="F119" i="5"/>
  <c r="C118" i="5"/>
  <c r="E118" i="5"/>
  <c r="F118" i="5"/>
  <c r="C117" i="5"/>
  <c r="E117" i="5"/>
  <c r="F117" i="5"/>
  <c r="C116" i="5"/>
  <c r="E116" i="5"/>
  <c r="F116" i="5"/>
  <c r="C115" i="5"/>
  <c r="E115" i="5"/>
  <c r="F115" i="5"/>
  <c r="C114" i="5"/>
  <c r="E114" i="5"/>
  <c r="F114" i="5"/>
  <c r="C113" i="5"/>
  <c r="E113" i="5"/>
  <c r="F113" i="5"/>
  <c r="C112" i="5"/>
  <c r="E112" i="5"/>
  <c r="F112" i="5"/>
  <c r="C111" i="5"/>
  <c r="E111" i="5"/>
  <c r="F111" i="5"/>
  <c r="C110" i="5"/>
  <c r="E110" i="5"/>
  <c r="F110" i="5"/>
  <c r="C109" i="5"/>
  <c r="E109" i="5"/>
  <c r="F109" i="5"/>
  <c r="C108" i="5"/>
  <c r="E108" i="5"/>
  <c r="F108" i="5"/>
  <c r="C107" i="5"/>
  <c r="E107" i="5"/>
  <c r="F107" i="5"/>
  <c r="C106" i="5"/>
  <c r="E106" i="5"/>
  <c r="F106" i="5"/>
  <c r="C105" i="5"/>
  <c r="E105" i="5"/>
  <c r="F105" i="5"/>
  <c r="C104" i="5"/>
  <c r="E104" i="5"/>
  <c r="F104" i="5"/>
  <c r="C103" i="5"/>
  <c r="E103" i="5"/>
  <c r="F103" i="5"/>
  <c r="C102" i="5"/>
  <c r="E102" i="5"/>
  <c r="F102" i="5"/>
  <c r="C101" i="5"/>
  <c r="E101" i="5"/>
  <c r="F101" i="5"/>
  <c r="C100" i="5"/>
  <c r="E100" i="5"/>
  <c r="F100" i="5"/>
  <c r="C99" i="5"/>
  <c r="E99" i="5"/>
  <c r="F99" i="5"/>
  <c r="C98" i="5"/>
  <c r="E98" i="5"/>
  <c r="F98" i="5"/>
  <c r="C97" i="5"/>
  <c r="E97" i="5"/>
  <c r="F97" i="5"/>
  <c r="C96" i="5"/>
  <c r="E96" i="5"/>
  <c r="F96" i="5"/>
  <c r="C95" i="5"/>
  <c r="E95" i="5"/>
  <c r="F95" i="5"/>
  <c r="C94" i="5"/>
  <c r="E94" i="5"/>
  <c r="F94" i="5"/>
  <c r="C93" i="5"/>
  <c r="E93" i="5"/>
  <c r="F93" i="5"/>
  <c r="C92" i="5"/>
  <c r="E92" i="5"/>
  <c r="F92" i="5"/>
  <c r="C91" i="5"/>
  <c r="E91" i="5"/>
  <c r="F91" i="5"/>
  <c r="C90" i="5"/>
  <c r="E90" i="5"/>
  <c r="F90" i="5"/>
  <c r="C89" i="5"/>
  <c r="E89" i="5"/>
  <c r="F89" i="5"/>
  <c r="C88" i="5"/>
  <c r="E88" i="5"/>
  <c r="F88" i="5"/>
  <c r="C87" i="5"/>
  <c r="E87" i="5"/>
  <c r="F87" i="5"/>
  <c r="C86" i="5"/>
  <c r="E86" i="5"/>
  <c r="F86" i="5"/>
  <c r="C85" i="5"/>
  <c r="E85" i="5"/>
  <c r="F85" i="5"/>
  <c r="C84" i="5"/>
  <c r="E84" i="5"/>
  <c r="F84" i="5"/>
  <c r="C83" i="5"/>
  <c r="E83" i="5"/>
  <c r="F83" i="5"/>
  <c r="C82" i="5"/>
  <c r="E82" i="5"/>
  <c r="F82" i="5"/>
  <c r="C81" i="5"/>
  <c r="E81" i="5"/>
  <c r="F81" i="5"/>
  <c r="C80" i="5"/>
  <c r="E80" i="5"/>
  <c r="F80" i="5"/>
  <c r="C79" i="5"/>
  <c r="E79" i="5"/>
  <c r="F79" i="5"/>
  <c r="C78" i="5"/>
  <c r="E78" i="5"/>
  <c r="F78" i="5"/>
  <c r="C77" i="5"/>
  <c r="E77" i="5"/>
  <c r="F77" i="5"/>
  <c r="C76" i="5"/>
  <c r="E76" i="5"/>
  <c r="F76" i="5"/>
  <c r="C75" i="5"/>
  <c r="E75" i="5"/>
  <c r="F75" i="5"/>
  <c r="C74" i="5"/>
  <c r="E74" i="5"/>
  <c r="F74" i="5"/>
  <c r="C73" i="5"/>
  <c r="E73" i="5"/>
  <c r="F73" i="5"/>
  <c r="C72" i="5"/>
  <c r="E72" i="5"/>
  <c r="F72" i="5"/>
  <c r="C71" i="5"/>
  <c r="E71" i="5"/>
  <c r="F71" i="5"/>
  <c r="C70" i="5"/>
  <c r="E70" i="5"/>
  <c r="F70" i="5"/>
  <c r="C69" i="5"/>
  <c r="E69" i="5"/>
  <c r="F69" i="5"/>
  <c r="C68" i="5"/>
  <c r="E68" i="5"/>
  <c r="F68" i="5"/>
  <c r="C67" i="5"/>
  <c r="E67" i="5"/>
  <c r="F67" i="5"/>
  <c r="C66" i="5"/>
  <c r="E66" i="5"/>
  <c r="F66" i="5"/>
  <c r="C65" i="5"/>
  <c r="E65" i="5"/>
  <c r="F65" i="5"/>
  <c r="C64" i="5"/>
  <c r="E64" i="5"/>
  <c r="F64" i="5"/>
  <c r="C63" i="5"/>
  <c r="E63" i="5"/>
  <c r="F63" i="5"/>
  <c r="C62" i="5"/>
  <c r="E62" i="5"/>
  <c r="F62" i="5"/>
  <c r="C61" i="5"/>
  <c r="E61" i="5"/>
  <c r="F61" i="5"/>
  <c r="C60" i="5"/>
  <c r="E60" i="5"/>
  <c r="F60" i="5"/>
  <c r="C59" i="5"/>
  <c r="E59" i="5"/>
  <c r="F59" i="5"/>
  <c r="C58" i="5"/>
  <c r="E58" i="5"/>
  <c r="F58" i="5"/>
  <c r="C57" i="5"/>
  <c r="E57" i="5"/>
  <c r="F57" i="5"/>
  <c r="C56" i="5"/>
  <c r="E56" i="5"/>
  <c r="F56" i="5"/>
  <c r="C55" i="5"/>
  <c r="E55" i="5"/>
  <c r="F55" i="5"/>
  <c r="C54" i="5"/>
  <c r="E54" i="5"/>
  <c r="F54" i="5"/>
  <c r="C53" i="5"/>
  <c r="E53" i="5"/>
  <c r="F53" i="5"/>
  <c r="C52" i="5"/>
  <c r="E52" i="5"/>
  <c r="F52" i="5"/>
  <c r="C51" i="5"/>
  <c r="E51" i="5"/>
  <c r="F51" i="5"/>
  <c r="C50" i="5"/>
  <c r="E50" i="5"/>
  <c r="F50" i="5"/>
  <c r="C49" i="5"/>
  <c r="E49" i="5"/>
  <c r="F49" i="5"/>
  <c r="C48" i="5"/>
  <c r="E48" i="5"/>
  <c r="F48" i="5"/>
  <c r="C47" i="5"/>
  <c r="E47" i="5"/>
  <c r="F47" i="5"/>
  <c r="C46" i="5"/>
  <c r="E46" i="5"/>
  <c r="F46" i="5"/>
  <c r="C45" i="5"/>
  <c r="E45" i="5"/>
  <c r="F45" i="5"/>
  <c r="C44" i="5"/>
  <c r="E44" i="5"/>
  <c r="F44" i="5"/>
  <c r="C43" i="5"/>
  <c r="E43" i="5"/>
  <c r="F43" i="5"/>
  <c r="C42" i="5"/>
  <c r="E42" i="5"/>
  <c r="F42" i="5"/>
  <c r="C41" i="5"/>
  <c r="E41" i="5"/>
  <c r="F41" i="5"/>
  <c r="C40" i="5"/>
  <c r="E40" i="5"/>
  <c r="F40" i="5"/>
  <c r="C39" i="5"/>
  <c r="E39" i="5"/>
  <c r="F39" i="5"/>
  <c r="C38" i="5"/>
  <c r="E38" i="5"/>
  <c r="F38" i="5"/>
  <c r="C37" i="5"/>
  <c r="E37" i="5"/>
  <c r="F37" i="5"/>
  <c r="C36" i="5"/>
  <c r="E36" i="5"/>
  <c r="F36" i="5"/>
  <c r="C35" i="5"/>
  <c r="E35" i="5"/>
  <c r="F35" i="5"/>
  <c r="C34" i="5"/>
  <c r="E34" i="5"/>
  <c r="F34" i="5"/>
  <c r="C33" i="5"/>
  <c r="E33" i="5"/>
  <c r="F33" i="5"/>
  <c r="C32" i="5"/>
  <c r="E32" i="5"/>
  <c r="F32" i="5"/>
  <c r="C31" i="5"/>
  <c r="E31" i="5"/>
  <c r="F31" i="5"/>
  <c r="C30" i="5"/>
  <c r="E30" i="5"/>
  <c r="F30" i="5"/>
  <c r="C29" i="5"/>
  <c r="E29" i="5"/>
  <c r="F29" i="5"/>
  <c r="C28" i="5"/>
  <c r="E28" i="5"/>
  <c r="F28" i="5"/>
  <c r="C27" i="5"/>
  <c r="E27" i="5"/>
  <c r="F27" i="5"/>
  <c r="C26" i="5"/>
  <c r="E26" i="5"/>
  <c r="F26" i="5"/>
  <c r="C25" i="5"/>
  <c r="E25" i="5"/>
  <c r="F25" i="5"/>
  <c r="C24" i="5"/>
  <c r="E24" i="5"/>
  <c r="F24" i="5"/>
  <c r="C23" i="5"/>
  <c r="E23" i="5"/>
  <c r="F23" i="5"/>
  <c r="C22" i="5"/>
  <c r="E22" i="5"/>
  <c r="F22" i="5"/>
  <c r="C21" i="5"/>
  <c r="E21" i="5"/>
  <c r="F21" i="5"/>
  <c r="C20" i="5"/>
  <c r="E20" i="5"/>
  <c r="F20" i="5"/>
  <c r="C19" i="5"/>
  <c r="E19" i="5"/>
  <c r="F19" i="5"/>
  <c r="C18" i="5"/>
  <c r="E18" i="5"/>
  <c r="F18" i="5"/>
  <c r="C17" i="5"/>
  <c r="E17" i="5"/>
  <c r="F17" i="5"/>
  <c r="C16" i="5"/>
  <c r="E16" i="5"/>
  <c r="F16" i="5"/>
  <c r="C15" i="5"/>
  <c r="E15" i="5"/>
  <c r="F15" i="5"/>
  <c r="C14" i="5"/>
  <c r="E14" i="5"/>
  <c r="F14" i="5"/>
  <c r="C13" i="5"/>
  <c r="E13" i="5"/>
  <c r="F13" i="5"/>
  <c r="X5" i="5"/>
  <c r="W5" i="5"/>
  <c r="L5" i="5"/>
  <c r="X4" i="5"/>
  <c r="W4" i="5"/>
  <c r="S4" i="5"/>
  <c r="R4" i="5"/>
  <c r="Q4" i="5"/>
  <c r="M4" i="5"/>
  <c r="N4" i="5"/>
  <c r="H4" i="5"/>
  <c r="X3" i="5"/>
  <c r="W3" i="5"/>
  <c r="S3" i="5"/>
  <c r="R3" i="5"/>
  <c r="Q3" i="5"/>
  <c r="M3" i="5"/>
  <c r="N3" i="5"/>
  <c r="H3" i="5"/>
  <c r="M44" i="4"/>
  <c r="M43" i="4"/>
  <c r="M42" i="4"/>
  <c r="M41" i="4"/>
  <c r="E194" i="4"/>
  <c r="F194" i="4"/>
  <c r="E193" i="4"/>
  <c r="F193" i="4"/>
  <c r="E192" i="4"/>
  <c r="F192" i="4"/>
  <c r="E191" i="4"/>
  <c r="F191" i="4"/>
  <c r="E190" i="4"/>
  <c r="F190" i="4"/>
  <c r="E189" i="4"/>
  <c r="F189" i="4"/>
  <c r="E188" i="4"/>
  <c r="F188" i="4"/>
  <c r="E187" i="4"/>
  <c r="F187" i="4"/>
  <c r="E186" i="4"/>
  <c r="F186" i="4"/>
  <c r="E185" i="4"/>
  <c r="F185" i="4"/>
  <c r="E184" i="4"/>
  <c r="F184" i="4"/>
  <c r="E183" i="4"/>
  <c r="F183" i="4"/>
  <c r="E182" i="4"/>
  <c r="F182" i="4"/>
  <c r="E181" i="4"/>
  <c r="F181" i="4"/>
  <c r="E180" i="4"/>
  <c r="F180" i="4"/>
  <c r="E179" i="4"/>
  <c r="F179" i="4"/>
  <c r="E178" i="4"/>
  <c r="F178" i="4"/>
  <c r="E177" i="4"/>
  <c r="F177" i="4"/>
  <c r="E176" i="4"/>
  <c r="F176" i="4"/>
  <c r="E175" i="4"/>
  <c r="F175" i="4"/>
  <c r="E174" i="4"/>
  <c r="F174" i="4"/>
  <c r="E173" i="4"/>
  <c r="F173" i="4"/>
  <c r="E172" i="4"/>
  <c r="F172" i="4"/>
  <c r="E171" i="4"/>
  <c r="F171" i="4"/>
  <c r="E170" i="4"/>
  <c r="F170" i="4"/>
  <c r="E169" i="4"/>
  <c r="F169" i="4"/>
  <c r="E168" i="4"/>
  <c r="F168" i="4"/>
  <c r="E167" i="4"/>
  <c r="F167" i="4"/>
  <c r="E166" i="4"/>
  <c r="F166" i="4"/>
  <c r="E165" i="4"/>
  <c r="F165" i="4"/>
  <c r="E164" i="4"/>
  <c r="F164" i="4"/>
  <c r="E163" i="4"/>
  <c r="F163" i="4"/>
  <c r="E162" i="4"/>
  <c r="F162" i="4"/>
  <c r="E161" i="4"/>
  <c r="F161" i="4"/>
  <c r="E160" i="4"/>
  <c r="F160" i="4"/>
  <c r="E159" i="4"/>
  <c r="F159" i="4"/>
  <c r="E158" i="4"/>
  <c r="F158" i="4"/>
  <c r="E157" i="4"/>
  <c r="F157" i="4"/>
  <c r="E156" i="4"/>
  <c r="F156" i="4"/>
  <c r="E155" i="4"/>
  <c r="F155" i="4"/>
  <c r="E154" i="4"/>
  <c r="F154" i="4"/>
  <c r="E153" i="4"/>
  <c r="F153" i="4"/>
  <c r="E152" i="4"/>
  <c r="F152" i="4"/>
  <c r="E151" i="4"/>
  <c r="F151" i="4"/>
  <c r="E150" i="4"/>
  <c r="F150" i="4"/>
  <c r="E149" i="4"/>
  <c r="F149" i="4"/>
  <c r="E148" i="4"/>
  <c r="F148" i="4"/>
  <c r="E147" i="4"/>
  <c r="F147" i="4"/>
  <c r="E146" i="4"/>
  <c r="F146" i="4"/>
  <c r="E145" i="4"/>
  <c r="F145" i="4"/>
  <c r="E144" i="4"/>
  <c r="F144" i="4"/>
  <c r="E143" i="4"/>
  <c r="F143" i="4"/>
  <c r="E142" i="4"/>
  <c r="F142" i="4"/>
  <c r="E141" i="4"/>
  <c r="F141" i="4"/>
  <c r="E140" i="4"/>
  <c r="F140" i="4"/>
  <c r="E139" i="4"/>
  <c r="F139" i="4"/>
  <c r="E138" i="4"/>
  <c r="F138" i="4"/>
  <c r="E137" i="4"/>
  <c r="F137" i="4"/>
  <c r="E136" i="4"/>
  <c r="F136" i="4"/>
  <c r="E135" i="4"/>
  <c r="F135" i="4"/>
  <c r="E134" i="4"/>
  <c r="F134" i="4"/>
  <c r="E133" i="4"/>
  <c r="F133" i="4"/>
  <c r="E132" i="4"/>
  <c r="F132" i="4"/>
  <c r="E131" i="4"/>
  <c r="F131" i="4"/>
  <c r="E130" i="4"/>
  <c r="F130" i="4"/>
  <c r="E129" i="4"/>
  <c r="F129" i="4"/>
  <c r="E128" i="4"/>
  <c r="F128" i="4"/>
  <c r="E127" i="4"/>
  <c r="F127" i="4"/>
  <c r="E126" i="4"/>
  <c r="F126" i="4"/>
  <c r="E125" i="4"/>
  <c r="F125" i="4"/>
  <c r="E124" i="4"/>
  <c r="F124" i="4"/>
  <c r="E123" i="4"/>
  <c r="F123" i="4"/>
  <c r="E122" i="4"/>
  <c r="F122" i="4"/>
  <c r="E121" i="4"/>
  <c r="F121" i="4"/>
  <c r="E120" i="4"/>
  <c r="F120" i="4"/>
  <c r="E119" i="4"/>
  <c r="F119" i="4"/>
  <c r="E118" i="4"/>
  <c r="F118" i="4"/>
  <c r="E117" i="4"/>
  <c r="F117" i="4"/>
  <c r="E116" i="4"/>
  <c r="F116" i="4"/>
  <c r="E115" i="4"/>
  <c r="F115" i="4"/>
  <c r="E114" i="4"/>
  <c r="F114" i="4"/>
  <c r="E113" i="4"/>
  <c r="F113" i="4"/>
  <c r="E112" i="4"/>
  <c r="F112" i="4"/>
  <c r="E111" i="4"/>
  <c r="F111" i="4"/>
  <c r="E110" i="4"/>
  <c r="F110" i="4"/>
  <c r="E109" i="4"/>
  <c r="F109" i="4"/>
  <c r="E108" i="4"/>
  <c r="F108" i="4"/>
  <c r="E107" i="4"/>
  <c r="F107" i="4"/>
  <c r="E106" i="4"/>
  <c r="F106" i="4"/>
  <c r="E105" i="4"/>
  <c r="F105" i="4"/>
  <c r="E104" i="4"/>
  <c r="F104" i="4"/>
  <c r="E103" i="4"/>
  <c r="F103" i="4"/>
  <c r="E102" i="4"/>
  <c r="F102" i="4"/>
  <c r="E101" i="4"/>
  <c r="F101" i="4"/>
  <c r="E100" i="4"/>
  <c r="F100" i="4"/>
  <c r="E99" i="4"/>
  <c r="F99" i="4"/>
  <c r="E98" i="4"/>
  <c r="F98" i="4"/>
  <c r="E97" i="4"/>
  <c r="F97" i="4"/>
  <c r="E96" i="4"/>
  <c r="F96" i="4"/>
  <c r="E95" i="4"/>
  <c r="F95" i="4"/>
  <c r="E94" i="4"/>
  <c r="F94" i="4"/>
  <c r="E93" i="4"/>
  <c r="F93" i="4"/>
  <c r="E92" i="4"/>
  <c r="F92" i="4"/>
  <c r="E91" i="4"/>
  <c r="F91" i="4"/>
  <c r="E90" i="4"/>
  <c r="F90" i="4"/>
  <c r="E89" i="4"/>
  <c r="F89" i="4"/>
  <c r="E88" i="4"/>
  <c r="F88" i="4"/>
  <c r="E87" i="4"/>
  <c r="F87" i="4"/>
  <c r="E86" i="4"/>
  <c r="F86" i="4"/>
  <c r="E85" i="4"/>
  <c r="F85" i="4"/>
  <c r="E84" i="4"/>
  <c r="F84" i="4"/>
  <c r="E83" i="4"/>
  <c r="F83" i="4"/>
  <c r="E82" i="4"/>
  <c r="F82" i="4"/>
  <c r="E81" i="4"/>
  <c r="F81" i="4"/>
  <c r="E80" i="4"/>
  <c r="F80" i="4"/>
  <c r="E79" i="4"/>
  <c r="F79" i="4"/>
  <c r="E78" i="4"/>
  <c r="F78" i="4"/>
  <c r="E77" i="4"/>
  <c r="F77" i="4"/>
  <c r="E76" i="4"/>
  <c r="F76" i="4"/>
  <c r="E75" i="4"/>
  <c r="F75" i="4"/>
  <c r="E74" i="4"/>
  <c r="F74" i="4"/>
  <c r="E73" i="4"/>
  <c r="F73" i="4"/>
  <c r="E72" i="4"/>
  <c r="F72" i="4"/>
  <c r="E71" i="4"/>
  <c r="F71" i="4"/>
  <c r="E70" i="4"/>
  <c r="F70" i="4"/>
  <c r="E69" i="4"/>
  <c r="F69" i="4"/>
  <c r="E68" i="4"/>
  <c r="F68" i="4"/>
  <c r="E67" i="4"/>
  <c r="F67" i="4"/>
  <c r="E66" i="4"/>
  <c r="F66" i="4"/>
  <c r="E65" i="4"/>
  <c r="F65" i="4"/>
  <c r="E64" i="4"/>
  <c r="F64" i="4"/>
  <c r="E63" i="4"/>
  <c r="F63" i="4"/>
  <c r="E62" i="4"/>
  <c r="F62" i="4"/>
  <c r="E61" i="4"/>
  <c r="F61" i="4"/>
  <c r="E60" i="4"/>
  <c r="F60" i="4"/>
  <c r="E59" i="4"/>
  <c r="F59" i="4"/>
  <c r="E58" i="4"/>
  <c r="F58" i="4"/>
  <c r="E57" i="4"/>
  <c r="F57" i="4"/>
  <c r="E56" i="4"/>
  <c r="F56" i="4"/>
  <c r="E55" i="4"/>
  <c r="F55" i="4"/>
  <c r="E54" i="4"/>
  <c r="F54" i="4"/>
  <c r="E53" i="4"/>
  <c r="F53" i="4"/>
  <c r="E52" i="4"/>
  <c r="F52" i="4"/>
  <c r="E51" i="4"/>
  <c r="F51" i="4"/>
  <c r="E50" i="4"/>
  <c r="F50" i="4"/>
  <c r="E49" i="4"/>
  <c r="F49" i="4"/>
  <c r="E48" i="4"/>
  <c r="F48" i="4"/>
  <c r="E47" i="4"/>
  <c r="F47" i="4"/>
  <c r="E46" i="4"/>
  <c r="F46" i="4"/>
  <c r="E45" i="4"/>
  <c r="F45" i="4"/>
  <c r="E44" i="4"/>
  <c r="F44" i="4"/>
  <c r="E43" i="4"/>
  <c r="F43" i="4"/>
  <c r="E42" i="4"/>
  <c r="F42" i="4"/>
  <c r="E41" i="4"/>
  <c r="F41" i="4"/>
  <c r="E40" i="4"/>
  <c r="F40" i="4"/>
  <c r="E39" i="4"/>
  <c r="F39" i="4"/>
  <c r="E38" i="4"/>
  <c r="F38" i="4"/>
  <c r="E37" i="4"/>
  <c r="F37" i="4"/>
  <c r="E36" i="4"/>
  <c r="F36" i="4"/>
  <c r="E35" i="4"/>
  <c r="F35" i="4"/>
  <c r="E34" i="4"/>
  <c r="F34" i="4"/>
  <c r="E33" i="4"/>
  <c r="F33" i="4"/>
  <c r="E32" i="4"/>
  <c r="F32" i="4"/>
  <c r="E31" i="4"/>
  <c r="F31" i="4"/>
  <c r="E30" i="4"/>
  <c r="F30" i="4"/>
  <c r="E29" i="4"/>
  <c r="F29" i="4"/>
  <c r="E28" i="4"/>
  <c r="F28" i="4"/>
  <c r="E27" i="4"/>
  <c r="F27" i="4"/>
  <c r="E26" i="4"/>
  <c r="F26" i="4"/>
  <c r="E25" i="4"/>
  <c r="F25" i="4"/>
  <c r="E24" i="4"/>
  <c r="F24" i="4"/>
  <c r="E23" i="4"/>
  <c r="F23" i="4"/>
  <c r="E22" i="4"/>
  <c r="F22" i="4"/>
  <c r="E21" i="4"/>
  <c r="F21" i="4"/>
  <c r="X5" i="4"/>
  <c r="W5" i="4"/>
  <c r="L5" i="4"/>
  <c r="X4" i="4"/>
  <c r="W4" i="4"/>
  <c r="S4" i="4"/>
  <c r="R4" i="4"/>
  <c r="Q4" i="4"/>
  <c r="M4" i="4"/>
  <c r="N4" i="4"/>
  <c r="H4" i="4"/>
  <c r="X3" i="4"/>
  <c r="W3" i="4"/>
  <c r="S3" i="4"/>
  <c r="R3" i="4"/>
  <c r="M3" i="4"/>
  <c r="N3" i="4"/>
  <c r="E194" i="3"/>
  <c r="F194" i="3"/>
  <c r="E193" i="3"/>
  <c r="F193" i="3"/>
  <c r="E192" i="3"/>
  <c r="F192" i="3"/>
  <c r="E191" i="3"/>
  <c r="F191" i="3"/>
  <c r="E190" i="3"/>
  <c r="F190" i="3"/>
  <c r="E189" i="3"/>
  <c r="F189" i="3"/>
  <c r="E188" i="3"/>
  <c r="F188" i="3"/>
  <c r="E187" i="3"/>
  <c r="F187" i="3"/>
  <c r="E186" i="3"/>
  <c r="F186" i="3"/>
  <c r="E185" i="3"/>
  <c r="F185" i="3"/>
  <c r="E184" i="3"/>
  <c r="F184" i="3"/>
  <c r="E183" i="3"/>
  <c r="F183" i="3"/>
  <c r="E182" i="3"/>
  <c r="F182" i="3"/>
  <c r="E181" i="3"/>
  <c r="F181" i="3"/>
  <c r="E180" i="3"/>
  <c r="F180" i="3"/>
  <c r="E179" i="3"/>
  <c r="F179" i="3"/>
  <c r="E178" i="3"/>
  <c r="F178" i="3"/>
  <c r="E177" i="3"/>
  <c r="F177" i="3"/>
  <c r="E176" i="3"/>
  <c r="F176" i="3"/>
  <c r="E175" i="3"/>
  <c r="F175" i="3"/>
  <c r="E174" i="3"/>
  <c r="F174" i="3"/>
  <c r="E173" i="3"/>
  <c r="F173" i="3"/>
  <c r="E172" i="3"/>
  <c r="F172" i="3"/>
  <c r="E171" i="3"/>
  <c r="F171" i="3"/>
  <c r="E170" i="3"/>
  <c r="F170" i="3"/>
  <c r="E169" i="3"/>
  <c r="F169" i="3"/>
  <c r="E168" i="3"/>
  <c r="F168" i="3"/>
  <c r="E167" i="3"/>
  <c r="F167" i="3"/>
  <c r="E166" i="3"/>
  <c r="F166" i="3"/>
  <c r="E165" i="3"/>
  <c r="F165" i="3"/>
  <c r="E164" i="3"/>
  <c r="F164" i="3"/>
  <c r="E163" i="3"/>
  <c r="F163" i="3"/>
  <c r="E162" i="3"/>
  <c r="F162" i="3"/>
  <c r="E161" i="3"/>
  <c r="F161" i="3"/>
  <c r="E160" i="3"/>
  <c r="F160" i="3"/>
  <c r="E159" i="3"/>
  <c r="F159" i="3"/>
  <c r="E158" i="3"/>
  <c r="F158" i="3"/>
  <c r="E157" i="3"/>
  <c r="F157" i="3"/>
  <c r="E156" i="3"/>
  <c r="F156" i="3"/>
  <c r="E155" i="3"/>
  <c r="F155" i="3"/>
  <c r="E154" i="3"/>
  <c r="F154" i="3"/>
  <c r="E153" i="3"/>
  <c r="F153" i="3"/>
  <c r="E152" i="3"/>
  <c r="F152" i="3"/>
  <c r="E151" i="3"/>
  <c r="F151" i="3"/>
  <c r="E150" i="3"/>
  <c r="F150" i="3"/>
  <c r="E149" i="3"/>
  <c r="F149" i="3"/>
  <c r="E148" i="3"/>
  <c r="F148" i="3"/>
  <c r="E147" i="3"/>
  <c r="F147" i="3"/>
  <c r="E146" i="3"/>
  <c r="F146" i="3"/>
  <c r="E145" i="3"/>
  <c r="F145" i="3"/>
  <c r="E144" i="3"/>
  <c r="F144" i="3"/>
  <c r="E143" i="3"/>
  <c r="F143" i="3"/>
  <c r="E142" i="3"/>
  <c r="F142" i="3"/>
  <c r="E141" i="3"/>
  <c r="F141" i="3"/>
  <c r="E140" i="3"/>
  <c r="F140" i="3"/>
  <c r="E139" i="3"/>
  <c r="F139" i="3"/>
  <c r="E138" i="3"/>
  <c r="F138" i="3"/>
  <c r="E137" i="3"/>
  <c r="F137" i="3"/>
  <c r="E136" i="3"/>
  <c r="F136" i="3"/>
  <c r="E135" i="3"/>
  <c r="F135" i="3"/>
  <c r="E134" i="3"/>
  <c r="F134" i="3"/>
  <c r="E133" i="3"/>
  <c r="F133" i="3"/>
  <c r="E132" i="3"/>
  <c r="F132" i="3"/>
  <c r="E131" i="3"/>
  <c r="F131" i="3"/>
  <c r="E130" i="3"/>
  <c r="F130" i="3"/>
  <c r="E129" i="3"/>
  <c r="F129" i="3"/>
  <c r="E128" i="3"/>
  <c r="F128" i="3"/>
  <c r="E127" i="3"/>
  <c r="F127" i="3"/>
  <c r="E126" i="3"/>
  <c r="F126" i="3"/>
  <c r="E125" i="3"/>
  <c r="F125" i="3"/>
  <c r="E124" i="3"/>
  <c r="F124" i="3"/>
  <c r="E123" i="3"/>
  <c r="F123" i="3"/>
  <c r="E122" i="3"/>
  <c r="F122" i="3"/>
  <c r="E121" i="3"/>
  <c r="F121" i="3"/>
  <c r="E120" i="3"/>
  <c r="F120" i="3"/>
  <c r="E119" i="3"/>
  <c r="F119" i="3"/>
  <c r="E118" i="3"/>
  <c r="F118" i="3"/>
  <c r="E117" i="3"/>
  <c r="F117" i="3"/>
  <c r="E116" i="3"/>
  <c r="F116" i="3"/>
  <c r="E115" i="3"/>
  <c r="F115" i="3"/>
  <c r="E114" i="3"/>
  <c r="F114" i="3"/>
  <c r="E113" i="3"/>
  <c r="F113" i="3"/>
  <c r="E112" i="3"/>
  <c r="F112" i="3"/>
  <c r="E111" i="3"/>
  <c r="F111" i="3"/>
  <c r="E110" i="3"/>
  <c r="F110" i="3"/>
  <c r="E109" i="3"/>
  <c r="F109" i="3"/>
  <c r="E108" i="3"/>
  <c r="F108" i="3"/>
  <c r="E107" i="3"/>
  <c r="F107" i="3"/>
  <c r="E106" i="3"/>
  <c r="F106" i="3"/>
  <c r="E105" i="3"/>
  <c r="F105" i="3"/>
  <c r="E104" i="3"/>
  <c r="F104" i="3"/>
  <c r="E103" i="3"/>
  <c r="F103" i="3"/>
  <c r="E102" i="3"/>
  <c r="F102" i="3"/>
  <c r="E101" i="3"/>
  <c r="F101" i="3"/>
  <c r="E100" i="3"/>
  <c r="F100" i="3"/>
  <c r="E99" i="3"/>
  <c r="F99" i="3"/>
  <c r="E98" i="3"/>
  <c r="F98" i="3"/>
  <c r="E97" i="3"/>
  <c r="F97" i="3"/>
  <c r="E96" i="3"/>
  <c r="F96" i="3"/>
  <c r="E95" i="3"/>
  <c r="F95" i="3"/>
  <c r="E94" i="3"/>
  <c r="F94" i="3"/>
  <c r="E93" i="3"/>
  <c r="F93" i="3"/>
  <c r="E92" i="3"/>
  <c r="F92" i="3"/>
  <c r="E91" i="3"/>
  <c r="F91" i="3"/>
  <c r="E90" i="3"/>
  <c r="F90" i="3"/>
  <c r="E89" i="3"/>
  <c r="F89" i="3"/>
  <c r="E88" i="3"/>
  <c r="F88" i="3"/>
  <c r="E87" i="3"/>
  <c r="F87" i="3"/>
  <c r="E86" i="3"/>
  <c r="F86" i="3"/>
  <c r="E85" i="3"/>
  <c r="F85" i="3"/>
  <c r="E84" i="3"/>
  <c r="F84" i="3"/>
  <c r="E83" i="3"/>
  <c r="F83" i="3"/>
  <c r="E82" i="3"/>
  <c r="F82" i="3"/>
  <c r="E81" i="3"/>
  <c r="F81" i="3"/>
  <c r="E80" i="3"/>
  <c r="F80" i="3"/>
  <c r="E79" i="3"/>
  <c r="F79" i="3"/>
  <c r="E78" i="3"/>
  <c r="F78" i="3"/>
  <c r="E77" i="3"/>
  <c r="F77" i="3"/>
  <c r="E76" i="3"/>
  <c r="F76" i="3"/>
  <c r="E75" i="3"/>
  <c r="F75" i="3"/>
  <c r="E74" i="3"/>
  <c r="F74" i="3"/>
  <c r="E73" i="3"/>
  <c r="F73" i="3"/>
  <c r="E72" i="3"/>
  <c r="F72" i="3"/>
  <c r="E71" i="3"/>
  <c r="F71" i="3"/>
  <c r="E70" i="3"/>
  <c r="F70" i="3"/>
  <c r="E69" i="3"/>
  <c r="F69" i="3"/>
  <c r="E68" i="3"/>
  <c r="F68" i="3"/>
  <c r="E67" i="3"/>
  <c r="F67" i="3"/>
  <c r="E66" i="3"/>
  <c r="F66" i="3"/>
  <c r="E65" i="3"/>
  <c r="F65" i="3"/>
  <c r="E64" i="3"/>
  <c r="F64" i="3"/>
  <c r="E63" i="3"/>
  <c r="F63" i="3"/>
  <c r="E62" i="3"/>
  <c r="F62" i="3"/>
  <c r="E61" i="3"/>
  <c r="F61" i="3"/>
  <c r="E60" i="3"/>
  <c r="F60" i="3"/>
  <c r="E59" i="3"/>
  <c r="F59" i="3"/>
  <c r="E58" i="3"/>
  <c r="F58" i="3"/>
  <c r="E57" i="3"/>
  <c r="F57" i="3"/>
  <c r="E56" i="3"/>
  <c r="F56" i="3"/>
  <c r="E55" i="3"/>
  <c r="F55" i="3"/>
  <c r="E54" i="3"/>
  <c r="F54" i="3"/>
  <c r="E53" i="3"/>
  <c r="F53" i="3"/>
  <c r="E52" i="3"/>
  <c r="F52" i="3"/>
  <c r="E51" i="3"/>
  <c r="F51" i="3"/>
  <c r="E50" i="3"/>
  <c r="F50" i="3"/>
  <c r="E49" i="3"/>
  <c r="F49" i="3"/>
  <c r="E48" i="3"/>
  <c r="F48" i="3"/>
  <c r="E47" i="3"/>
  <c r="F47" i="3"/>
  <c r="E46" i="3"/>
  <c r="F46" i="3"/>
  <c r="E45" i="3"/>
  <c r="F45" i="3"/>
  <c r="E44" i="3"/>
  <c r="F44" i="3"/>
  <c r="E43" i="3"/>
  <c r="F43" i="3"/>
  <c r="E42" i="3"/>
  <c r="F42" i="3"/>
  <c r="E41" i="3"/>
  <c r="F41" i="3"/>
  <c r="E40" i="3"/>
  <c r="F40" i="3"/>
  <c r="E39" i="3"/>
  <c r="F39" i="3"/>
  <c r="E38" i="3"/>
  <c r="F38" i="3"/>
  <c r="E37" i="3"/>
  <c r="F37" i="3"/>
  <c r="E36" i="3"/>
  <c r="F36" i="3"/>
  <c r="E35" i="3"/>
  <c r="F35" i="3"/>
  <c r="E34" i="3"/>
  <c r="F34" i="3"/>
  <c r="E33" i="3"/>
  <c r="F33" i="3"/>
  <c r="E32" i="3"/>
  <c r="F32" i="3"/>
  <c r="E31" i="3"/>
  <c r="F31" i="3"/>
  <c r="E30" i="3"/>
  <c r="F30" i="3"/>
  <c r="E29" i="3"/>
  <c r="F29" i="3"/>
  <c r="E28" i="3"/>
  <c r="F28" i="3"/>
  <c r="E27" i="3"/>
  <c r="F27" i="3"/>
  <c r="E26" i="3"/>
  <c r="F26" i="3"/>
  <c r="E25" i="3"/>
  <c r="F25" i="3"/>
  <c r="E24" i="3"/>
  <c r="F24" i="3"/>
  <c r="E23" i="3"/>
  <c r="F23" i="3"/>
  <c r="E22" i="3"/>
  <c r="F22" i="3"/>
  <c r="E21" i="3"/>
  <c r="F21" i="3"/>
  <c r="N4" i="3"/>
  <c r="N3" i="3"/>
  <c r="M43" i="2"/>
  <c r="M42" i="2"/>
  <c r="M41" i="2"/>
  <c r="M40" i="2"/>
  <c r="E194" i="2"/>
  <c r="F194" i="2"/>
  <c r="E193" i="2"/>
  <c r="F193" i="2"/>
  <c r="E192" i="2"/>
  <c r="F192" i="2"/>
  <c r="E191" i="2"/>
  <c r="F191" i="2"/>
  <c r="E190" i="2"/>
  <c r="F190" i="2"/>
  <c r="E189" i="2"/>
  <c r="F189" i="2"/>
  <c r="E188" i="2"/>
  <c r="F188" i="2"/>
  <c r="E187" i="2"/>
  <c r="F187" i="2"/>
  <c r="E186" i="2"/>
  <c r="F186" i="2"/>
  <c r="E185" i="2"/>
  <c r="F185" i="2"/>
  <c r="E184" i="2"/>
  <c r="F184" i="2"/>
  <c r="E183" i="2"/>
  <c r="F183" i="2"/>
  <c r="E182" i="2"/>
  <c r="F182" i="2"/>
  <c r="E181" i="2"/>
  <c r="F181" i="2"/>
  <c r="E180" i="2"/>
  <c r="F180" i="2"/>
  <c r="E179" i="2"/>
  <c r="F179" i="2"/>
  <c r="E178" i="2"/>
  <c r="F178" i="2"/>
  <c r="E177" i="2"/>
  <c r="F177" i="2"/>
  <c r="E176" i="2"/>
  <c r="F176" i="2"/>
  <c r="E175" i="2"/>
  <c r="F175" i="2"/>
  <c r="E174" i="2"/>
  <c r="F174" i="2"/>
  <c r="E173" i="2"/>
  <c r="F173" i="2"/>
  <c r="E172" i="2"/>
  <c r="F172" i="2"/>
  <c r="E171" i="2"/>
  <c r="F171" i="2"/>
  <c r="E170" i="2"/>
  <c r="F170" i="2"/>
  <c r="E169" i="2"/>
  <c r="F169" i="2"/>
  <c r="E168" i="2"/>
  <c r="F168" i="2"/>
  <c r="E167" i="2"/>
  <c r="F167" i="2"/>
  <c r="E166" i="2"/>
  <c r="F166" i="2"/>
  <c r="E165" i="2"/>
  <c r="F165" i="2"/>
  <c r="E164" i="2"/>
  <c r="F164" i="2"/>
  <c r="E163" i="2"/>
  <c r="F163" i="2"/>
  <c r="E162" i="2"/>
  <c r="F162" i="2"/>
  <c r="E161" i="2"/>
  <c r="F161" i="2"/>
  <c r="E160" i="2"/>
  <c r="F160" i="2"/>
  <c r="E159" i="2"/>
  <c r="F159" i="2"/>
  <c r="E158" i="2"/>
  <c r="F158" i="2"/>
  <c r="E157" i="2"/>
  <c r="F157" i="2"/>
  <c r="E156" i="2"/>
  <c r="F156" i="2"/>
  <c r="E155" i="2"/>
  <c r="F155" i="2"/>
  <c r="E154" i="2"/>
  <c r="F154" i="2"/>
  <c r="E153" i="2"/>
  <c r="F153" i="2"/>
  <c r="E152" i="2"/>
  <c r="F152" i="2"/>
  <c r="E151" i="2"/>
  <c r="F151" i="2"/>
  <c r="E150" i="2"/>
  <c r="F150" i="2"/>
  <c r="E149" i="2"/>
  <c r="F149" i="2"/>
  <c r="E148" i="2"/>
  <c r="F148" i="2"/>
  <c r="E147" i="2"/>
  <c r="F147" i="2"/>
  <c r="E146" i="2"/>
  <c r="F146" i="2"/>
  <c r="E145" i="2"/>
  <c r="F145" i="2"/>
  <c r="E144" i="2"/>
  <c r="F144" i="2"/>
  <c r="E143" i="2"/>
  <c r="F143" i="2"/>
  <c r="E142" i="2"/>
  <c r="F142" i="2"/>
  <c r="E141" i="2"/>
  <c r="F141" i="2"/>
  <c r="E140" i="2"/>
  <c r="F140" i="2"/>
  <c r="E139" i="2"/>
  <c r="F139" i="2"/>
  <c r="E138" i="2"/>
  <c r="F138" i="2"/>
  <c r="E137" i="2"/>
  <c r="F137" i="2"/>
  <c r="E136" i="2"/>
  <c r="F136" i="2"/>
  <c r="E135" i="2"/>
  <c r="F135" i="2"/>
  <c r="E134" i="2"/>
  <c r="F134" i="2"/>
  <c r="E133" i="2"/>
  <c r="F133" i="2"/>
  <c r="E132" i="2"/>
  <c r="F132" i="2"/>
  <c r="E131" i="2"/>
  <c r="F131" i="2"/>
  <c r="E130" i="2"/>
  <c r="F130" i="2"/>
  <c r="E129" i="2"/>
  <c r="F129" i="2"/>
  <c r="E128" i="2"/>
  <c r="F128" i="2"/>
  <c r="E127" i="2"/>
  <c r="F127" i="2"/>
  <c r="E126" i="2"/>
  <c r="F126" i="2"/>
  <c r="E125" i="2"/>
  <c r="F125" i="2"/>
  <c r="E124" i="2"/>
  <c r="F124" i="2"/>
  <c r="E123" i="2"/>
  <c r="F123" i="2"/>
  <c r="E122" i="2"/>
  <c r="F122" i="2"/>
  <c r="E121" i="2"/>
  <c r="F121" i="2"/>
  <c r="E120" i="2"/>
  <c r="F120" i="2"/>
  <c r="E119" i="2"/>
  <c r="F119" i="2"/>
  <c r="E118" i="2"/>
  <c r="F118" i="2"/>
  <c r="E117" i="2"/>
  <c r="F117" i="2"/>
  <c r="E116" i="2"/>
  <c r="F116" i="2"/>
  <c r="E115" i="2"/>
  <c r="F115" i="2"/>
  <c r="E114" i="2"/>
  <c r="F114" i="2"/>
  <c r="E113" i="2"/>
  <c r="F113" i="2"/>
  <c r="E112" i="2"/>
  <c r="F112" i="2"/>
  <c r="E111" i="2"/>
  <c r="F111" i="2"/>
  <c r="E110" i="2"/>
  <c r="F110" i="2"/>
  <c r="E109" i="2"/>
  <c r="F109" i="2"/>
  <c r="E108" i="2"/>
  <c r="F108" i="2"/>
  <c r="E107" i="2"/>
  <c r="F107" i="2"/>
  <c r="E106" i="2"/>
  <c r="F106" i="2"/>
  <c r="E105" i="2"/>
  <c r="F105" i="2"/>
  <c r="E104" i="2"/>
  <c r="F104" i="2"/>
  <c r="E103" i="2"/>
  <c r="F103" i="2"/>
  <c r="E102" i="2"/>
  <c r="F102" i="2"/>
  <c r="E101" i="2"/>
  <c r="F101" i="2"/>
  <c r="E100" i="2"/>
  <c r="F100" i="2"/>
  <c r="E99" i="2"/>
  <c r="F99" i="2"/>
  <c r="E98" i="2"/>
  <c r="F98" i="2"/>
  <c r="E97" i="2"/>
  <c r="F97" i="2"/>
  <c r="E96" i="2"/>
  <c r="F96" i="2"/>
  <c r="E95" i="2"/>
  <c r="F95" i="2"/>
  <c r="E94" i="2"/>
  <c r="F94" i="2"/>
  <c r="E93" i="2"/>
  <c r="F93" i="2"/>
  <c r="E92" i="2"/>
  <c r="F92" i="2"/>
  <c r="E91" i="2"/>
  <c r="F91" i="2"/>
  <c r="E90" i="2"/>
  <c r="F90" i="2"/>
  <c r="E89" i="2"/>
  <c r="F89" i="2"/>
  <c r="E88" i="2"/>
  <c r="F88" i="2"/>
  <c r="E87" i="2"/>
  <c r="F87" i="2"/>
  <c r="E86" i="2"/>
  <c r="F86" i="2"/>
  <c r="E85" i="2"/>
  <c r="F85" i="2"/>
  <c r="E84" i="2"/>
  <c r="F84" i="2"/>
  <c r="E83" i="2"/>
  <c r="F83" i="2"/>
  <c r="E82" i="2"/>
  <c r="F82" i="2"/>
  <c r="E81" i="2"/>
  <c r="F81" i="2"/>
  <c r="E80" i="2"/>
  <c r="F80" i="2"/>
  <c r="E79" i="2"/>
  <c r="F79" i="2"/>
  <c r="E78" i="2"/>
  <c r="F78" i="2"/>
  <c r="E77" i="2"/>
  <c r="F77" i="2"/>
  <c r="E76" i="2"/>
  <c r="F76" i="2"/>
  <c r="E75" i="2"/>
  <c r="F75" i="2"/>
  <c r="E74" i="2"/>
  <c r="F74" i="2"/>
  <c r="E73" i="2"/>
  <c r="F73" i="2"/>
  <c r="E72" i="2"/>
  <c r="F72" i="2"/>
  <c r="E71" i="2"/>
  <c r="F71" i="2"/>
  <c r="E70" i="2"/>
  <c r="F70" i="2"/>
  <c r="E69" i="2"/>
  <c r="F69" i="2"/>
  <c r="E68" i="2"/>
  <c r="F68" i="2"/>
  <c r="E67" i="2"/>
  <c r="F67" i="2"/>
  <c r="E66" i="2"/>
  <c r="F66" i="2"/>
  <c r="E65" i="2"/>
  <c r="F65" i="2"/>
  <c r="E64" i="2"/>
  <c r="F64" i="2"/>
  <c r="E63" i="2"/>
  <c r="F63" i="2"/>
  <c r="E62" i="2"/>
  <c r="F62" i="2"/>
  <c r="E61" i="2"/>
  <c r="F61" i="2"/>
  <c r="E60" i="2"/>
  <c r="F60" i="2"/>
  <c r="E59" i="2"/>
  <c r="F59" i="2"/>
  <c r="E58" i="2"/>
  <c r="F58" i="2"/>
  <c r="E57" i="2"/>
  <c r="F57" i="2"/>
  <c r="E56" i="2"/>
  <c r="F56" i="2"/>
  <c r="E55" i="2"/>
  <c r="F55" i="2"/>
  <c r="E54" i="2"/>
  <c r="F54" i="2"/>
  <c r="E53" i="2"/>
  <c r="F53" i="2"/>
  <c r="E52" i="2"/>
  <c r="F52" i="2"/>
  <c r="E51" i="2"/>
  <c r="F51" i="2"/>
  <c r="E50" i="2"/>
  <c r="F50" i="2"/>
  <c r="E49" i="2"/>
  <c r="F49" i="2"/>
  <c r="E48" i="2"/>
  <c r="F48" i="2"/>
  <c r="E47" i="2"/>
  <c r="F47" i="2"/>
  <c r="E46" i="2"/>
  <c r="F46" i="2"/>
  <c r="E45" i="2"/>
  <c r="F45" i="2"/>
  <c r="E44" i="2"/>
  <c r="F44" i="2"/>
  <c r="E43" i="2"/>
  <c r="F43" i="2"/>
  <c r="E42" i="2"/>
  <c r="F42" i="2"/>
  <c r="E41" i="2"/>
  <c r="F41" i="2"/>
  <c r="E40" i="2"/>
  <c r="F40" i="2"/>
  <c r="E39" i="2"/>
  <c r="F39" i="2"/>
  <c r="E38" i="2"/>
  <c r="F38" i="2"/>
  <c r="E37" i="2"/>
  <c r="F37" i="2"/>
  <c r="E36" i="2"/>
  <c r="F36" i="2"/>
  <c r="E35" i="2"/>
  <c r="F35" i="2"/>
  <c r="E34" i="2"/>
  <c r="F34" i="2"/>
  <c r="E33" i="2"/>
  <c r="F33" i="2"/>
  <c r="E32" i="2"/>
  <c r="F32" i="2"/>
  <c r="E31" i="2"/>
  <c r="F31" i="2"/>
  <c r="E30" i="2"/>
  <c r="F30" i="2"/>
  <c r="E29" i="2"/>
  <c r="F29" i="2"/>
  <c r="E28" i="2"/>
  <c r="F28" i="2"/>
  <c r="E27" i="2"/>
  <c r="F27" i="2"/>
  <c r="E26" i="2"/>
  <c r="F26" i="2"/>
  <c r="E25" i="2"/>
  <c r="F25" i="2"/>
  <c r="E24" i="2"/>
  <c r="F24" i="2"/>
  <c r="E23" i="2"/>
  <c r="F23" i="2"/>
  <c r="E22" i="2"/>
  <c r="F22" i="2"/>
  <c r="E21" i="2"/>
  <c r="F21" i="2"/>
  <c r="X5" i="2"/>
  <c r="W5" i="2"/>
  <c r="L5" i="2"/>
  <c r="X4" i="2"/>
  <c r="W4" i="2"/>
  <c r="S4" i="2"/>
  <c r="R4" i="2"/>
  <c r="Q4" i="2"/>
  <c r="M4" i="2"/>
  <c r="N4" i="2"/>
  <c r="H4" i="2"/>
  <c r="X3" i="2"/>
  <c r="W3" i="2"/>
  <c r="S3" i="2"/>
  <c r="R3" i="2"/>
  <c r="M3" i="2"/>
  <c r="N3" i="2"/>
  <c r="M44" i="1"/>
  <c r="M43" i="1"/>
  <c r="M42" i="1"/>
  <c r="M41" i="1"/>
  <c r="E240" i="1"/>
  <c r="F240" i="1"/>
  <c r="E239" i="1"/>
  <c r="F239" i="1"/>
  <c r="E238" i="1"/>
  <c r="F238" i="1"/>
  <c r="E237" i="1"/>
  <c r="F237" i="1"/>
  <c r="E236" i="1"/>
  <c r="F236" i="1"/>
  <c r="E235" i="1"/>
  <c r="F235" i="1"/>
  <c r="E234" i="1"/>
  <c r="F234" i="1"/>
  <c r="E233" i="1"/>
  <c r="F233" i="1"/>
  <c r="E232" i="1"/>
  <c r="F232" i="1"/>
  <c r="E231" i="1"/>
  <c r="F231" i="1"/>
  <c r="E230" i="1"/>
  <c r="F230" i="1"/>
  <c r="E229" i="1"/>
  <c r="F229" i="1"/>
  <c r="E228" i="1"/>
  <c r="F228" i="1"/>
  <c r="E227" i="1"/>
  <c r="F227" i="1"/>
  <c r="E226" i="1"/>
  <c r="F226" i="1"/>
  <c r="E225" i="1"/>
  <c r="F225" i="1"/>
  <c r="E224" i="1"/>
  <c r="F224" i="1"/>
  <c r="E223" i="1"/>
  <c r="F223" i="1"/>
  <c r="E222" i="1"/>
  <c r="F222" i="1"/>
  <c r="E221" i="1"/>
  <c r="F221" i="1"/>
  <c r="E220" i="1"/>
  <c r="F220" i="1"/>
  <c r="E219" i="1"/>
  <c r="F219" i="1"/>
  <c r="E218" i="1"/>
  <c r="F218" i="1"/>
  <c r="E217" i="1"/>
  <c r="F217" i="1"/>
  <c r="E216" i="1"/>
  <c r="F216" i="1"/>
  <c r="E215" i="1"/>
  <c r="F215" i="1"/>
  <c r="E214" i="1"/>
  <c r="F214" i="1"/>
  <c r="E213" i="1"/>
  <c r="F213" i="1"/>
  <c r="E212" i="1"/>
  <c r="F212" i="1"/>
  <c r="E211" i="1"/>
  <c r="F211" i="1"/>
  <c r="E210" i="1"/>
  <c r="F210" i="1"/>
  <c r="E209" i="1"/>
  <c r="F209" i="1"/>
  <c r="E208" i="1"/>
  <c r="F208" i="1"/>
  <c r="E207" i="1"/>
  <c r="F207" i="1"/>
  <c r="E206" i="1"/>
  <c r="F206" i="1"/>
  <c r="E205" i="1"/>
  <c r="F205" i="1"/>
  <c r="E204" i="1"/>
  <c r="F204" i="1"/>
  <c r="E203" i="1"/>
  <c r="F203" i="1"/>
  <c r="E202" i="1"/>
  <c r="F202" i="1"/>
  <c r="E201" i="1"/>
  <c r="F201" i="1"/>
  <c r="E200" i="1"/>
  <c r="F200" i="1"/>
  <c r="E199" i="1"/>
  <c r="F199" i="1"/>
  <c r="E198" i="1"/>
  <c r="F198" i="1"/>
  <c r="E197" i="1"/>
  <c r="F197" i="1"/>
  <c r="E196" i="1"/>
  <c r="F196" i="1"/>
  <c r="E195" i="1"/>
  <c r="F195" i="1"/>
  <c r="E194" i="1"/>
  <c r="F194" i="1"/>
  <c r="E193" i="1"/>
  <c r="F193" i="1"/>
  <c r="E192" i="1"/>
  <c r="F192" i="1"/>
  <c r="E191" i="1"/>
  <c r="F191" i="1"/>
  <c r="E190" i="1"/>
  <c r="F190" i="1"/>
  <c r="E189" i="1"/>
  <c r="F189" i="1"/>
  <c r="E188" i="1"/>
  <c r="F188" i="1"/>
  <c r="E187" i="1"/>
  <c r="F187" i="1"/>
  <c r="E186" i="1"/>
  <c r="F186" i="1"/>
  <c r="E185" i="1"/>
  <c r="F185" i="1"/>
  <c r="E184" i="1"/>
  <c r="F184" i="1"/>
  <c r="E183" i="1"/>
  <c r="F183" i="1"/>
  <c r="E182" i="1"/>
  <c r="F182" i="1"/>
  <c r="E181" i="1"/>
  <c r="F181" i="1"/>
  <c r="E180" i="1"/>
  <c r="F180" i="1"/>
  <c r="E179" i="1"/>
  <c r="F179" i="1"/>
  <c r="E178" i="1"/>
  <c r="F178" i="1"/>
  <c r="E177" i="1"/>
  <c r="F177" i="1"/>
  <c r="E176" i="1"/>
  <c r="F176" i="1"/>
  <c r="E175" i="1"/>
  <c r="F175" i="1"/>
  <c r="E174" i="1"/>
  <c r="F174" i="1"/>
  <c r="E173" i="1"/>
  <c r="F173" i="1"/>
  <c r="E172" i="1"/>
  <c r="F172" i="1"/>
  <c r="E171" i="1"/>
  <c r="F171" i="1"/>
  <c r="E170" i="1"/>
  <c r="F170" i="1"/>
  <c r="E169" i="1"/>
  <c r="F169" i="1"/>
  <c r="E168" i="1"/>
  <c r="F168" i="1"/>
  <c r="E167" i="1"/>
  <c r="F167" i="1"/>
  <c r="E166" i="1"/>
  <c r="F166" i="1"/>
  <c r="E165" i="1"/>
  <c r="F165" i="1"/>
  <c r="E164" i="1"/>
  <c r="F164" i="1"/>
  <c r="E163" i="1"/>
  <c r="F163" i="1"/>
  <c r="E162" i="1"/>
  <c r="F162" i="1"/>
  <c r="E161" i="1"/>
  <c r="F161" i="1"/>
  <c r="E160" i="1"/>
  <c r="F160" i="1"/>
  <c r="E159" i="1"/>
  <c r="F159" i="1"/>
  <c r="E158" i="1"/>
  <c r="F158" i="1"/>
  <c r="E157" i="1"/>
  <c r="F157" i="1"/>
  <c r="E156" i="1"/>
  <c r="F156" i="1"/>
  <c r="E155" i="1"/>
  <c r="F155" i="1"/>
  <c r="E154" i="1"/>
  <c r="F154" i="1"/>
  <c r="E153" i="1"/>
  <c r="F153" i="1"/>
  <c r="E152" i="1"/>
  <c r="F152" i="1"/>
  <c r="E151" i="1"/>
  <c r="F151" i="1"/>
  <c r="E150" i="1"/>
  <c r="F150" i="1"/>
  <c r="E149" i="1"/>
  <c r="F149" i="1"/>
  <c r="E148" i="1"/>
  <c r="F148" i="1"/>
  <c r="E147" i="1"/>
  <c r="F147" i="1"/>
  <c r="E146" i="1"/>
  <c r="F146" i="1"/>
  <c r="E145" i="1"/>
  <c r="F145" i="1"/>
  <c r="E144" i="1"/>
  <c r="F144" i="1"/>
  <c r="E143" i="1"/>
  <c r="F143" i="1"/>
  <c r="E142" i="1"/>
  <c r="F142" i="1"/>
  <c r="E141" i="1"/>
  <c r="F141" i="1"/>
  <c r="E140" i="1"/>
  <c r="F140" i="1"/>
  <c r="E139" i="1"/>
  <c r="F139" i="1"/>
  <c r="E138" i="1"/>
  <c r="F138" i="1"/>
  <c r="E137" i="1"/>
  <c r="F137" i="1"/>
  <c r="E136" i="1"/>
  <c r="F136" i="1"/>
  <c r="E135" i="1"/>
  <c r="F135" i="1"/>
  <c r="E134" i="1"/>
  <c r="F134" i="1"/>
  <c r="E133" i="1"/>
  <c r="F133" i="1"/>
  <c r="E132" i="1"/>
  <c r="F132" i="1"/>
  <c r="E131" i="1"/>
  <c r="F131" i="1"/>
  <c r="E130" i="1"/>
  <c r="F130" i="1"/>
  <c r="X5" i="1"/>
  <c r="W5" i="1"/>
  <c r="L5" i="1"/>
  <c r="X4" i="1"/>
  <c r="W4" i="1"/>
  <c r="S4" i="1"/>
  <c r="R4" i="1"/>
  <c r="Q4" i="1"/>
  <c r="M4" i="1"/>
  <c r="N4" i="1"/>
  <c r="H4" i="1"/>
  <c r="X3" i="1"/>
  <c r="W3" i="1"/>
  <c r="S3" i="1"/>
  <c r="R3" i="1"/>
  <c r="Q3" i="1"/>
  <c r="M3" i="1"/>
  <c r="N3" i="1"/>
  <c r="Y46" i="12"/>
  <c r="X46" i="12"/>
  <c r="W46" i="12"/>
  <c r="V46" i="12"/>
  <c r="U46" i="12"/>
  <c r="T46" i="12"/>
  <c r="S46" i="12"/>
  <c r="R46" i="12"/>
  <c r="P46" i="12"/>
  <c r="O46" i="12"/>
  <c r="Z46" i="12"/>
  <c r="M46" i="12"/>
  <c r="N46" i="12"/>
  <c r="R26" i="12"/>
  <c r="U26" i="12"/>
  <c r="L26" i="12"/>
  <c r="O26" i="12"/>
  <c r="L46"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8" authorId="0" shapeId="0" xr:uid="{29B154E7-3E7F-5641-B173-999C54C7FB37}">
      <text>
        <r>
          <rPr>
            <b/>
            <sz val="10"/>
            <color rgb="FF000000"/>
            <rFont val="Tahoma"/>
            <family val="2"/>
          </rPr>
          <t>Microsoft Office User:</t>
        </r>
        <r>
          <rPr>
            <sz val="10"/>
            <color rgb="FF000000"/>
            <rFont val="Tahoma"/>
            <family val="2"/>
          </rPr>
          <t xml:space="preserve">
</t>
        </r>
        <r>
          <rPr>
            <sz val="10"/>
            <color rgb="FF000000"/>
            <rFont val="Tahoma"/>
            <family val="2"/>
          </rPr>
          <t xml:space="preserve">5% percentile means sort the series from smallest, and get the value at 5% percentile point
</t>
        </r>
      </text>
    </comment>
    <comment ref="B21" authorId="0" shapeId="0" xr:uid="{C5BE495B-C207-B147-AF76-ACA17A30AED1}">
      <text>
        <r>
          <rPr>
            <b/>
            <sz val="10"/>
            <color rgb="FF000000"/>
            <rFont val="Tahoma"/>
            <family val="2"/>
          </rPr>
          <t>Microsoft Office User:</t>
        </r>
        <r>
          <rPr>
            <sz val="10"/>
            <color rgb="FF000000"/>
            <rFont val="Tahoma"/>
            <family val="2"/>
          </rPr>
          <t xml:space="preserve">
</t>
        </r>
        <r>
          <rPr>
            <sz val="10"/>
            <color rgb="FF000000"/>
            <rFont val="Tahoma"/>
            <family val="2"/>
          </rPr>
          <t>it means 75% chance the ending value will be bigger than this value</t>
        </r>
      </text>
    </comment>
    <comment ref="B23" authorId="0" shapeId="0" xr:uid="{1A7189EE-D53D-5A4A-9767-1757A91347A6}">
      <text>
        <r>
          <rPr>
            <b/>
            <sz val="10"/>
            <color rgb="FF000000"/>
            <rFont val="Tahoma"/>
            <family val="2"/>
          </rPr>
          <t>Microsoft Office User:</t>
        </r>
        <r>
          <rPr>
            <sz val="10"/>
            <color rgb="FF000000"/>
            <rFont val="Tahoma"/>
            <family val="2"/>
          </rPr>
          <t xml:space="preserve">
</t>
        </r>
        <r>
          <rPr>
            <sz val="10"/>
            <color rgb="FF000000"/>
            <rFont val="Tahoma"/>
            <family val="2"/>
          </rPr>
          <t xml:space="preserve">75%, 10 years, average annualized return will be greater than this valye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<sst xmlns="http://schemas.openxmlformats.org/spreadsheetml/2006/main" count="1129" uniqueCount="429">
  <si>
    <t>Remarks</t>
  </si>
  <si>
    <t>1. Expense Ratio</t>
  </si>
  <si>
    <t>Monthly</t>
  </si>
  <si>
    <t>Frequency</t>
  </si>
  <si>
    <t>Frequency %</t>
  </si>
  <si>
    <t>Adjusted Ret</t>
    <phoneticPr fontId="0" type="noConversion"/>
  </si>
  <si>
    <t>Std Dev</t>
  </si>
  <si>
    <t>Actual</t>
  </si>
  <si>
    <t>Normal</t>
  </si>
  <si>
    <t>Actual %</t>
  </si>
  <si>
    <t>Normal %</t>
  </si>
  <si>
    <t>2. CRSP Reference:</t>
  </si>
  <si>
    <t>https://www.investing.com/indices/crsp-us-total-market-historical-data</t>
  </si>
  <si>
    <t>Avg</t>
  </si>
  <si>
    <t>Pos Avg Ret</t>
  </si>
  <si>
    <t>Upper</t>
  </si>
  <si>
    <t>Count</t>
  </si>
  <si>
    <t>Neg Avg Ret</t>
  </si>
  <si>
    <t>Lower</t>
  </si>
  <si>
    <t>0 count</t>
  </si>
  <si>
    <t>Date</t>
  </si>
  <si>
    <t>Adj Close_Include Dividend</t>
  </si>
  <si>
    <t>^%</t>
  </si>
  <si>
    <t>CRSP U.S. Total Market Index</t>
  </si>
  <si>
    <t>^% CRSP</t>
  </si>
  <si>
    <t>VTI Performance</t>
  </si>
  <si>
    <t>US GDP^%</t>
  </si>
  <si>
    <t>Interval</t>
  </si>
  <si>
    <t>Bin</t>
  </si>
  <si>
    <t>Description</t>
  </si>
  <si>
    <t>&lt;-15%</t>
  </si>
  <si>
    <t>-15% to -10%</t>
  </si>
  <si>
    <t>-10% to -5%</t>
  </si>
  <si>
    <t>-5% to 0</t>
  </si>
  <si>
    <t>0 to 5%</t>
  </si>
  <si>
    <t>5% to 10%</t>
  </si>
  <si>
    <t>10% to 15%</t>
  </si>
  <si>
    <t>More</t>
  </si>
  <si>
    <t>&gt;15%</t>
  </si>
  <si>
    <t>VTI^%</t>
  </si>
  <si>
    <t>Mean</t>
  </si>
  <si>
    <t>Standard Error</t>
  </si>
  <si>
    <t>Median</t>
  </si>
  <si>
    <t>Mode</t>
  </si>
  <si>
    <t>Standard Deviation</t>
  </si>
  <si>
    <t>Sample Variance</t>
  </si>
  <si>
    <t>Kurtosis</t>
  </si>
  <si>
    <t>Skewness</t>
  </si>
  <si>
    <t>Range</t>
  </si>
  <si>
    <t>Minimum</t>
  </si>
  <si>
    <t>Maximum</t>
  </si>
  <si>
    <t>Sum</t>
  </si>
  <si>
    <t>Period</t>
  </si>
  <si>
    <t>VTI Total Return</t>
  </si>
  <si>
    <t>Category</t>
  </si>
  <si>
    <t>Diff</t>
  </si>
  <si>
    <t xml:space="preserve">1 year </t>
  </si>
  <si>
    <t xml:space="preserve">3 years </t>
  </si>
  <si>
    <t xml:space="preserve">5 years </t>
  </si>
  <si>
    <t>10 years</t>
  </si>
  <si>
    <t>Dvidend Distribution</t>
  </si>
  <si>
    <t>Dividend Reinvestment?</t>
  </si>
  <si>
    <t>Taxation</t>
  </si>
  <si>
    <t>2. FTSE Developed Europe All Cap Index:</t>
  </si>
  <si>
    <t>3. 2015, includes small cap, becomes all cap tracking ETF</t>
  </si>
  <si>
    <t>4. Vanguard's webiste provides the constitution of the countries</t>
  </si>
  <si>
    <t>5. ECB, GDP Growth, not HICP Inflation</t>
  </si>
  <si>
    <t>https://sdw.ecb.europa.eu/quickview.do?SERIES_KEY=320.MNA.Q.Y.I8.W2.S1.S1.B.B1GQ._Z._Z._Z.EUR.LR.GY&amp;periodSortOrder=ASC</t>
  </si>
  <si>
    <t>FTDEULMS</t>
  </si>
  <si>
    <t>^% FTDEULMS</t>
  </si>
  <si>
    <t>VGK Performance</t>
  </si>
  <si>
    <t>Euro Area GDP^%</t>
  </si>
  <si>
    <t>&lt;-20%</t>
  </si>
  <si>
    <t>-20% to -15%</t>
  </si>
  <si>
    <t>VGK^%</t>
  </si>
  <si>
    <t>Period(From the latest)</t>
  </si>
  <si>
    <t>VGK Total Return</t>
  </si>
  <si>
    <t>Market Allocation</t>
  </si>
  <si>
    <t xml:space="preserve">UK </t>
  </si>
  <si>
    <t>Switzerland</t>
  </si>
  <si>
    <t>France</t>
  </si>
  <si>
    <t>Germany</t>
  </si>
  <si>
    <t>Netherlands</t>
  </si>
  <si>
    <t>1. GDP ^% is a lagging indicator here, VGK^% would show the changes of the total market value first.</t>
  </si>
  <si>
    <t>1. It seems like VGK is not 100% tracking the FTSE, the diff is quit big.</t>
  </si>
  <si>
    <t>2. FTSE Developed Asia Pacific All Cap Index</t>
  </si>
  <si>
    <t>FTAWPACSR</t>
  </si>
  <si>
    <t>^% FTAWPACSR</t>
  </si>
  <si>
    <t>VPL Performance</t>
  </si>
  <si>
    <t>JPY GDP</t>
  </si>
  <si>
    <t>AUS GDP</t>
  </si>
  <si>
    <t>&gt;10%</t>
  </si>
  <si>
    <t>VPL^%</t>
  </si>
  <si>
    <t>VPL Total Return</t>
  </si>
  <si>
    <t xml:space="preserve">Japan </t>
  </si>
  <si>
    <t>Australia</t>
  </si>
  <si>
    <t>Korea</t>
  </si>
  <si>
    <t xml:space="preserve">Hong Kong </t>
  </si>
  <si>
    <t>Singapore</t>
  </si>
  <si>
    <t>2. FTSE Emerging Markets All Cap China A Inclusion Index.</t>
  </si>
  <si>
    <t>https://www.investing.com/indices/ftse-em-market-all-cap-china-a-incl-historical-data</t>
  </si>
  <si>
    <t>3. High risk warning, only for long term goal</t>
  </si>
  <si>
    <t>FTFQEAC</t>
  </si>
  <si>
    <t>^% FTFQEAC</t>
  </si>
  <si>
    <t>VWO Performance</t>
  </si>
  <si>
    <t>China GDP</t>
  </si>
  <si>
    <t>&lt;-25%</t>
  </si>
  <si>
    <t>-25% to -20%</t>
  </si>
  <si>
    <t>15% to 20%</t>
  </si>
  <si>
    <t>&gt;20%</t>
  </si>
  <si>
    <t>VWO^%</t>
  </si>
  <si>
    <t>VWO Total Return</t>
  </si>
  <si>
    <t>China</t>
  </si>
  <si>
    <t>Taiwan</t>
  </si>
  <si>
    <t>Brazil</t>
  </si>
  <si>
    <t>South Africa</t>
  </si>
  <si>
    <t>Russia</t>
  </si>
  <si>
    <t>1. The difference between VWO and the index is much bigger than other ETF's, why?</t>
  </si>
  <si>
    <t>2. FTSE Developed All Cap ex USA Index</t>
  </si>
  <si>
    <t>https://www.investing.com/indices/ftse-developed-all-cap-ex-usa</t>
  </si>
  <si>
    <t>5. China A share is not included, since it is not a developed country</t>
  </si>
  <si>
    <t>FTDLMSXUS</t>
  </si>
  <si>
    <t>^% FTDLMSXUS</t>
  </si>
  <si>
    <t>VEA Performance</t>
  </si>
  <si>
    <t>Japan GDP</t>
  </si>
  <si>
    <t>VEA^%</t>
  </si>
  <si>
    <t>VEA Total Return</t>
  </si>
  <si>
    <t>Japan</t>
  </si>
  <si>
    <t>UK</t>
  </si>
  <si>
    <t>Canada</t>
  </si>
  <si>
    <t>2. Bench mark data not founded</t>
  </si>
  <si>
    <t>3. Be aware of the predetermined ratio of bonds with different maturity</t>
  </si>
  <si>
    <t>4. Vanguard's webiste explanation</t>
  </si>
  <si>
    <t>https://investor.vanguard.com/etf/profile/portfolio/vgit</t>
  </si>
  <si>
    <t>5. We can see the protection function of bonds when the Econ dropped a lot in 2019 to 2020</t>
  </si>
  <si>
    <t>6. The longer term to maturity, the more sensitive towards the interests rate policy</t>
  </si>
  <si>
    <t>7. The driving factor of bond yield is complex, not just solely higher interests rate, lower bond yield, therefore lower bond value.</t>
  </si>
  <si>
    <t>US GDP</t>
  </si>
  <si>
    <t>&lt;-3%</t>
  </si>
  <si>
    <t>-3% to -2%</t>
  </si>
  <si>
    <t>-2% to -1%</t>
  </si>
  <si>
    <t>-1% to 0</t>
  </si>
  <si>
    <t>0 to 1%</t>
  </si>
  <si>
    <t>1% to 2%</t>
  </si>
  <si>
    <t>2% to 3%</t>
  </si>
  <si>
    <t>&gt;3%</t>
  </si>
  <si>
    <t>VGIT^%</t>
  </si>
  <si>
    <t>VGIT Total Return</t>
  </si>
  <si>
    <t>United States Treasury Notes 1.62%</t>
  </si>
  <si>
    <t>United States Treasury Notes 1.5%</t>
  </si>
  <si>
    <t>United States Treasury Notes 2.12%</t>
  </si>
  <si>
    <t>United States Treasury Notes 2.5%</t>
  </si>
  <si>
    <t>United States Treasury Notes 2.75%</t>
  </si>
  <si>
    <t>United States Treasury Notes 2.38%</t>
  </si>
  <si>
    <t>United States Treasury Notes 2.88%</t>
  </si>
  <si>
    <t>United States Treasury Notes 2.25%</t>
  </si>
  <si>
    <t>United States Treasury Notes 2%</t>
  </si>
  <si>
    <t xml:space="preserve">2. We can see VGIT did have the function of hedging the market when the GDP dropped a lot in the past. </t>
  </si>
  <si>
    <t>Bloomberg Barclays U.S. Treasury Inflation Protected Securities (TIPS) Index (Series-L)</t>
  </si>
  <si>
    <t>6. Comparison:</t>
  </si>
  <si>
    <t>https://etfdb.com/tool/etf-comparison/TIP-VTIP/#performance</t>
  </si>
  <si>
    <t>7. The Nature of the dividend: Avoid the cash tax on the phantom income during the holding period of the long term bond. Which comes from the movement of CPI(Does it 100% represent the inflation?). If negative moves, then probably no dividend payout.</t>
  </si>
  <si>
    <t>9. T Bond Yield =5%, TIP Yield = 2% (The Actual, after inflation expected gain from the bond), so 5%-2% =3%, is the expeced inflation rate of the market. T Bond yield is giving 2% as the real bond yield to the investors, the extra 3% is given to dilute the expected inflation rate. So, &gt;expectation, TIP is better, else versa.</t>
  </si>
  <si>
    <t>&lt;-8%</t>
  </si>
  <si>
    <t>-8% to -6%</t>
  </si>
  <si>
    <t>-6% to -4%</t>
  </si>
  <si>
    <t>-4% to -2%</t>
  </si>
  <si>
    <t>-2% to 0</t>
  </si>
  <si>
    <t>0 to 2%</t>
  </si>
  <si>
    <t>2% to 4%</t>
  </si>
  <si>
    <t>4% to 6%</t>
  </si>
  <si>
    <t>6% to 8%</t>
  </si>
  <si>
    <t>&gt;8%</t>
  </si>
  <si>
    <t>TIP^%</t>
  </si>
  <si>
    <t>TIP Total Return</t>
  </si>
  <si>
    <t>United States Treasury Notes 0.63%</t>
  </si>
  <si>
    <t>United States Treasury Notes 0.5%</t>
  </si>
  <si>
    <t>United States Treasury Notes 0.38%</t>
  </si>
  <si>
    <t>United States Treasury Notes 0.13%</t>
  </si>
  <si>
    <t>United States Treasury Bonds 0.75%</t>
  </si>
  <si>
    <t>Generally Monthly</t>
  </si>
  <si>
    <t>1. We can see TIP shows it preservation of the purchasing power of the invested principle when there is positive inflation</t>
  </si>
  <si>
    <t>2. The latest 1 year performance is 8%, due to the large scale of QE adopted by the US government during the COVID-19.</t>
  </si>
  <si>
    <t>ETF Scorecard</t>
  </si>
  <si>
    <t>Sector</t>
  </si>
  <si>
    <t>Type</t>
  </si>
  <si>
    <t>Product</t>
  </si>
  <si>
    <t>Ticker</t>
  </si>
  <si>
    <t>Currency</t>
  </si>
  <si>
    <t>Tracking Index</t>
  </si>
  <si>
    <t>Expense Ratio</t>
  </si>
  <si>
    <t xml:space="preserve">Holding Turnover </t>
  </si>
  <si>
    <t>Current performance(Mly)</t>
  </si>
  <si>
    <t>Target Portfolio %</t>
  </si>
  <si>
    <t>Current Portfolio %</t>
  </si>
  <si>
    <t xml:space="preserve">State </t>
  </si>
  <si>
    <t>Comment</t>
  </si>
  <si>
    <t>Reference Source</t>
  </si>
  <si>
    <t>US Developed</t>
  </si>
  <si>
    <t>Stock market</t>
  </si>
  <si>
    <t>Vanguard</t>
  </si>
  <si>
    <t>Vanguard Total Stock Market Index Fund ETF Shares (VTI)</t>
  </si>
  <si>
    <t>VTI</t>
  </si>
  <si>
    <t>USD</t>
  </si>
  <si>
    <t>CRSPTM</t>
  </si>
  <si>
    <t>https://finance.yahoo.com/quote/VTI?p=VTI</t>
  </si>
  <si>
    <t>Vanguard Intermediate-Term Treasury ETF</t>
  </si>
  <si>
    <t>VGIT.IV</t>
  </si>
  <si>
    <t>Spliced Bloomberg Barclays U.S. Treasury 3-10 Year Index in USD†</t>
  </si>
  <si>
    <t>https://hk.finance.yahoo.com/quote/VGIT/history?p=VGIT</t>
  </si>
  <si>
    <t>Inflation Protected Bond</t>
  </si>
  <si>
    <t>iShares</t>
  </si>
  <si>
    <t>iShares TIPS Bond ETF</t>
  </si>
  <si>
    <t>TIP</t>
  </si>
  <si>
    <t>LBUTTRUU</t>
  </si>
  <si>
    <t>https://hk.finance.yahoo.com/quote/TIP/profile?p=TIP</t>
  </si>
  <si>
    <t>Europe Developed</t>
  </si>
  <si>
    <t>Vanguard FTSE Europe ETF</t>
  </si>
  <si>
    <t>VGK</t>
  </si>
  <si>
    <t>https://finance.yahoo.com/quote/VGK/</t>
  </si>
  <si>
    <t xml:space="preserve"> Asia Developed</t>
  </si>
  <si>
    <t>Vanguard FTSE Pacific ETF</t>
  </si>
  <si>
    <t>VPL</t>
  </si>
  <si>
    <t>https://finance.yahoo.com/quote/VPL?p=VPL&amp;.tsrc=fin-srch</t>
  </si>
  <si>
    <t>EM</t>
  </si>
  <si>
    <t>Vanguard FTSE Emerging Markets ETF</t>
  </si>
  <si>
    <t>VWO</t>
  </si>
  <si>
    <t>https://finance.yahoo.com/quote/vwo?ltr=1</t>
  </si>
  <si>
    <t>Global Developed EX the US</t>
  </si>
  <si>
    <t>Vanguard FTSE Developed Markets ETF </t>
  </si>
  <si>
    <t>VEA</t>
  </si>
  <si>
    <t>https://finance.yahoo.com/quote/VEA/profile?p=VEA</t>
  </si>
  <si>
    <t>ETF Filter</t>
  </si>
  <si>
    <t>https://etfdb.com/etfdb-category/government-bonds/#etfs__expenses&amp;sort_name=expense_ratio&amp;sort_order=asc&amp;page=1</t>
  </si>
  <si>
    <t>1. It seems like they don’t have a consistent opposite relationship, since VGIT is increasing generally no matter the US GDP is above or lower than the 2 level</t>
  </si>
  <si>
    <t xml:space="preserve">2. Benchmark </t>
  </si>
  <si>
    <t>4. Although VTIP has a lower 0.05% ER, and a lower 0.51% SD, however, the performance of TIP would make the give in worthy.</t>
  </si>
  <si>
    <t>8. Dividend = Regular coupon + CPI adjusted Principle(That’s why you get more income when inflation, since you have a bigger principle), so if the later one is negative, and bigger than the previous one, invesstors get no dividend at that term. So, if Coupon=3%, then deflation 3%, no dividend, the cancel each other out.</t>
  </si>
  <si>
    <t>Intermediate US Gov Bond</t>
  </si>
  <si>
    <t>International Gov Bond</t>
  </si>
  <si>
    <t>BWX</t>
  </si>
  <si>
    <t>SPDR Bloomberg Barclays International Treasury Bond ETF (BWX)</t>
  </si>
  <si>
    <t>Bloomberg Barclays Global Treasury ex-US Capped Index</t>
  </si>
  <si>
    <t>3. Developed Market Bond. The bonds are denominated by the domestic currency, with fix coupon, and over 1 year</t>
  </si>
  <si>
    <t>4. The net value of BWX is decreasing</t>
  </si>
  <si>
    <t>5. However, the ETF is denominated by USD, so most of the volatility comes from the fluctuation of the exchange rate</t>
  </si>
  <si>
    <t>https://finance.yahoo.com/quote/BWX/profile?p=BWX</t>
  </si>
  <si>
    <t>Gov Bond VS Treasury Bond the previous one includes the corporate bonds, so higher RR ratio</t>
  </si>
  <si>
    <t>6. The major country bond was Japan's, now changed to China, so it is not all developed, but alos include some developing countries' bond?</t>
  </si>
  <si>
    <t>China(Peoples Rep) 3.29%</t>
  </si>
  <si>
    <t>China(Peoples Rep) 4.08%</t>
  </si>
  <si>
    <t>China(Peoples Rep) 3.25%</t>
  </si>
  <si>
    <t>Indonesia (Republic of) 6.125%</t>
  </si>
  <si>
    <t>The Republic of Korea 5.5%</t>
  </si>
  <si>
    <t>BWX Total Return</t>
  </si>
  <si>
    <t>BWX^%</t>
  </si>
  <si>
    <t>7. Why it loses so much to the index in the short term, since both of them are not USD hedged, so need to undertake the FX fluctuation's impact of the principle.</t>
  </si>
  <si>
    <t>8. Compare with BNDX, USD hedged (More diffcult to mirror the performance of the index)</t>
  </si>
  <si>
    <t>http://greenhornfinancefootnote.blogspot.com/2017/08/vanguard-total-international-bond.html</t>
  </si>
  <si>
    <t>International Gov Inflation Protected Bond</t>
  </si>
  <si>
    <t>SPDR FTSE International Government Inflation-Protected Bond ETF</t>
  </si>
  <si>
    <t>WIP</t>
  </si>
  <si>
    <t>https://finance.yahoo.com/quote/WIP/profile?p=WIP</t>
  </si>
  <si>
    <t xml:space="preserve">DB Global Government ex-US Inflation-Linked Bond Capped Index. </t>
  </si>
  <si>
    <t>3. inflation linked government bond markets of developed and emerging market outside the US</t>
  </si>
  <si>
    <t>Distributor(Not the Investment Manager)</t>
  </si>
  <si>
    <t xml:space="preserve">State Street Global Markets, LLC </t>
  </si>
  <si>
    <t xml:space="preserve">5. Be aware of the NAV and Volumn are decreasing, 5 Year Net Flows: -422.46 M. Why the money keeps running away from it? </t>
  </si>
  <si>
    <t> FTSE International Inflation-Linked Securities Select Index</t>
  </si>
  <si>
    <t>France (Republic Of) 1.85%</t>
  </si>
  <si>
    <t>United Kingdom of Great Britain and Northern Ireland 1.25%</t>
  </si>
  <si>
    <t>United Kingdom of Great Britain and Northern Ireland 0.5%</t>
  </si>
  <si>
    <t>Germany (Federal Republic Of) 0.5%</t>
  </si>
  <si>
    <t>Spain (Kingdom of) 1.8%</t>
  </si>
  <si>
    <t>WIP ^%</t>
  </si>
  <si>
    <t xml:space="preserve">BWX </t>
  </si>
  <si>
    <t xml:space="preserve">Mean </t>
  </si>
  <si>
    <t>Weights</t>
  </si>
  <si>
    <t>Variance Covariance Matrix</t>
  </si>
  <si>
    <t>Portfolio Variance</t>
  </si>
  <si>
    <t>1. MMULT means Matrix Multification. Completeing the formula, press ctrl, shift, enter</t>
  </si>
  <si>
    <t>Weightings Adjustment</t>
  </si>
  <si>
    <t>Portfolio Variables</t>
  </si>
  <si>
    <t>Port_Var</t>
  </si>
  <si>
    <t>Port_Mean</t>
  </si>
  <si>
    <t>Port_Std</t>
  </si>
  <si>
    <t>3. For the solver limitation, if you allow the negative value which means you are going to sell short some ETF, which is not listed in our buy and hold strategy.</t>
  </si>
  <si>
    <t>Targeted Return</t>
  </si>
  <si>
    <t>Min Variance available</t>
  </si>
  <si>
    <t>5. The lower variance and mean could be used to head check the upper targets we set.</t>
  </si>
  <si>
    <t>Portfolio Return(Mly)</t>
  </si>
  <si>
    <t>Anualized Ret</t>
  </si>
  <si>
    <t>7. How to convert standard deviation in different time scale.</t>
  </si>
  <si>
    <t>https://financetrain.com/calculate-annualized-standard-deviation/</t>
  </si>
  <si>
    <t>Anualized Std</t>
  </si>
  <si>
    <t>Proposed Weights</t>
  </si>
  <si>
    <t>Portfolio Mean</t>
  </si>
  <si>
    <t>Portfolio Std</t>
  </si>
  <si>
    <t>Expected Terms of Investmet</t>
  </si>
  <si>
    <t xml:space="preserve">St Dev </t>
  </si>
  <si>
    <t>Percentiles</t>
  </si>
  <si>
    <t>Simulation Iterations</t>
  </si>
  <si>
    <t>Return</t>
  </si>
  <si>
    <t>Ending Value(Add invest at end of the term)</t>
  </si>
  <si>
    <t>Amount to invest per term Begin</t>
  </si>
  <si>
    <t>Reference:</t>
  </si>
  <si>
    <t>https://www.youtube.com/watch?v=Q5Fw2IRMjPQ&amp;t=31s</t>
  </si>
  <si>
    <t>2. For simulation, we use the data table function to point at an empty cell</t>
  </si>
  <si>
    <t>3. Since the variance are taken from the best backward-looking efficient frontier, the portfolio has a strong and stable growth over 100 months which are not the case now or in the future.</t>
  </si>
  <si>
    <t>4. Percentile inclusive means including 0% and 100%</t>
  </si>
  <si>
    <t>6. sqrt 10 times, X^(1/10)</t>
  </si>
  <si>
    <t>Holding Period</t>
  </si>
  <si>
    <t xml:space="preserve">Date </t>
  </si>
  <si>
    <t>Months</t>
  </si>
  <si>
    <t xml:space="preserve">Entry </t>
  </si>
  <si>
    <t>1. @ means this row only, used for structured reference in tables</t>
  </si>
  <si>
    <t>2. Index function</t>
  </si>
  <si>
    <t>3, since we only need to row Adj Closed, so only one row variable is enough, no need to satte the column range.</t>
  </si>
  <si>
    <t>4. Why not @index? Since we are not going to take the value at the corresponding position, but the previous, so we don’t anchore it.</t>
  </si>
  <si>
    <t>5. Month 0 corresponds to the first data</t>
  </si>
  <si>
    <t>4. Be aware, the EF is finding the best combination to have the smallest portfolio variance in the past, so it must not be the best choice for now. Rmb to sqrt the variance into std</t>
  </si>
  <si>
    <t xml:space="preserve">Remarks </t>
  </si>
  <si>
    <t>1. why we want to do the efficient frontier? We want to find the best R/R allocation in the past.</t>
  </si>
  <si>
    <t>6. The Efficient Frontier tells us we can use the suggested weightings to traget at 0.4% monthly portfolio return by taking 0.857% monthly portfolio variance, which is the best combination in the past, but not now or in the future.</t>
  </si>
  <si>
    <t>8:2</t>
  </si>
  <si>
    <t>7:3</t>
  </si>
  <si>
    <t>6:4</t>
  </si>
  <si>
    <t>Remarks:</t>
  </si>
  <si>
    <t>1. So, 7:3 is a better choice to gain a more balance R/R?, which also fits the suggestion of Graham that no more 75% or less than 25%</t>
  </si>
  <si>
    <t>2. convert the portfolio std and mean to annaulized to compare with the fix ratio, then the suggested metric has a much higher R/R, although it is unrealistic</t>
  </si>
  <si>
    <t>3. And it is overfiiting by over concentrated on certain asset to fit the past conditions</t>
  </si>
  <si>
    <t>1. The random prob is simulating that the portfolio return could be fell into any standard deviation. Which means you can earn more or less than the average return.</t>
  </si>
  <si>
    <t>7. NORM.INV explanation</t>
  </si>
  <si>
    <t>https://blog.gtwang.org/windows/excel-random-number-generation-formula/</t>
  </si>
  <si>
    <t>Term</t>
  </si>
  <si>
    <t>8. What if Analysis with Excel Data tabel</t>
  </si>
  <si>
    <t>https://www.youtube.com/watch?v=6I6fpfbkge8</t>
  </si>
  <si>
    <t xml:space="preserve">9. Ctrl Shift seclect one row first, then pressing the shift to select another row, quick way </t>
  </si>
  <si>
    <t>10.excel data table for basic simulation</t>
  </si>
  <si>
    <t>https://www.youtube.com/watch?v=tpIhQuxQeNs</t>
  </si>
  <si>
    <t>11. random() assumes give variables from 0-1, if rand()*10, give 0-10</t>
  </si>
  <si>
    <t>12. so the variable sequence is: the rate, the terms' return , the final return(L112), ending values, simulation iteration formula.-&gt;then do a hundred times of it.</t>
  </si>
  <si>
    <t>13. Just like pressing the F9 a hundred time, and record the final value at the table range we determined.</t>
  </si>
  <si>
    <t>14. through Norm.Inv(Rand()), we create a normal distribution bell with a range of 0 and 1</t>
  </si>
  <si>
    <t>15. the next step is to determine how does the number varies in this range, so we need the anchor (Mean) and the force of wind (Std)</t>
  </si>
  <si>
    <t>16. So we get where the result would be positioned.</t>
  </si>
  <si>
    <t xml:space="preserve">5. if 5% percentile is a, then 95% would be bigger than a, then 5% would be smaller than a </t>
  </si>
  <si>
    <t>3. M std = A std/ sqrt(12)</t>
  </si>
  <si>
    <t>VTI Adj Closed</t>
  </si>
  <si>
    <t>Could be used as an alternative of VGK, VPL and VWO, with a predetermined ratio</t>
  </si>
  <si>
    <t>Selection Principle</t>
  </si>
  <si>
    <t>3. Be aware of the predetermined construction ratio, could be better or not than discreate ratio</t>
  </si>
  <si>
    <t>Actually, fed rate increased, attactiveness of bond decreased, demand decreased, price drops, coupon rate/price increases, bond yield increased</t>
  </si>
  <si>
    <t>8. Over the 10 years the ETF performed better than the benchmark.(Bond market's lower transparency, over-the counter transaction, dealer mode not agent mode which leads to a lower liquidity, and therefore bigger spread. The cost of risk premium taken by the dealer first would be transferred to the investors, lowering their investment return.</t>
  </si>
  <si>
    <t xml:space="preserve">reversed? </t>
  </si>
  <si>
    <t>*</t>
  </si>
  <si>
    <t>1. As we can see the monthly volatility of it could be large, but it will be averaged annually</t>
  </si>
  <si>
    <t>2. Using a linear perspective instead of the point perspective is better</t>
  </si>
  <si>
    <t>Due to 2015 Aug, 100% increase</t>
  </si>
  <si>
    <t>9. We should count the expense of holding the ETF, since the cost would be an influencing factor in determining the weights, but the difference is not that big. So I just recalculate the Past  Efficient Frontier weightings.</t>
  </si>
  <si>
    <t>4. And we also want to test whether the combination can function properly by diversification of assets, it proved it works by enlarging the ratio of bonds to face the Econ crisis this year</t>
  </si>
  <si>
    <t>6. The difficult is if you not allow negative value, then, it will all focus on the ideal product, e.g.80% bond. Else, it assumes you can sell short ETF which we don’t want</t>
  </si>
  <si>
    <t>4. Know the draw down condition by sketching the rolling return of different holding period</t>
  </si>
  <si>
    <t>6. Understand the test will not give the perfect or predictive ratio of assets, meaningless.</t>
  </si>
  <si>
    <t>Decision</t>
  </si>
  <si>
    <t>1. I would choose implement 7:3 for several reasons although 6:4 seems has a higher risk adjusted return</t>
  </si>
  <si>
    <t>2. First, I want to include more equity with growing potential in the portfolio when I am young</t>
  </si>
  <si>
    <t>4. ETF investing aiming at market return, which always means a moderate target, and 7:3 is the moderate target here</t>
  </si>
  <si>
    <t>8. Comparing with the weights we proposed, we are taking 6 times of risks to have similar annualized return. I think the risks reward ratio is not the best. (6:4)</t>
  </si>
  <si>
    <t>5. Run the Efficient Frontier to test wehther the combination can diversify properly</t>
  </si>
  <si>
    <t>ETF</t>
  </si>
  <si>
    <t>Remaining Capital (USD)</t>
  </si>
  <si>
    <t>Ideal Position</t>
  </si>
  <si>
    <t>Unit Price</t>
  </si>
  <si>
    <t>Ideal Units</t>
  </si>
  <si>
    <t>8. Even though we can limit the ratio to 15%, it is still being response to the past performance, we still cannot get the valuable information for determining the ratio of ETFs in the future</t>
  </si>
  <si>
    <t>Current Unit</t>
  </si>
  <si>
    <t>Buying Units</t>
  </si>
  <si>
    <t>* Rmb to set the market price below the Quantity</t>
  </si>
  <si>
    <t>Unit Price (Ask Price)</t>
  </si>
  <si>
    <t>Cash Transferred</t>
  </si>
  <si>
    <t>1. Enough diversified asset classes to represent the regional growth, e.g. more bonds with differet terms are included with a more expensive expense ratio, of course not too much, would be our first priority</t>
  </si>
  <si>
    <t xml:space="preserve">2. Cheaper expense ratio, since it is the only factor of ROI we can control </t>
  </si>
  <si>
    <t>3. know the product by data analysis</t>
  </si>
  <si>
    <t>2. VGK doesn’t include China which is counted as emerging market</t>
  </si>
  <si>
    <t xml:space="preserve">2. Generally, much worse than the index performance </t>
  </si>
  <si>
    <t>6. It could be a subsititue of VGK + VPL, but I want an equal weightings of the UK and Japan since they represent different Econ body</t>
  </si>
  <si>
    <t xml:space="preserve">3. Tips protects the capital from the rise of interests rate, since coupon is fixed. </t>
  </si>
  <si>
    <t>4. If inflationary, than, the pinciple would be adjusted to offer the same coupon rate, so you get more based on the interetss rate</t>
  </si>
  <si>
    <t xml:space="preserve">5. The rate differenct could be used as an inflation predictor </t>
  </si>
  <si>
    <t>https://finance.zacks.com/difference-between-10year-treasury-bond-treasury-tips-yield-7434.html</t>
  </si>
  <si>
    <t>4. Although there are cheaper choices of international Gov inflation protected bond ETFs,  WIP includes the biggest amount of bonds</t>
  </si>
  <si>
    <t>2. Mean, and Weights Vector should be column vector in this formula, if change to row, then might be some mistakes</t>
  </si>
  <si>
    <t>2. Monthly rate = (1 + annual rate)^(1/12) – 1</t>
  </si>
  <si>
    <t>Current Investment</t>
  </si>
  <si>
    <t>Total  Return% (Mly)</t>
  </si>
  <si>
    <t>17. for the simulation iteration, we want the final result with formula, so we can use the data table function in what if analysis to run it 200 times</t>
  </si>
  <si>
    <t xml:space="preserve">https://exceljet.net/excel-functions/excel-index-function </t>
  </si>
  <si>
    <t>2.1 The index function means, we want to select a cell from a designated cell, since we just pointed a single row, we just need to state the verticle position</t>
  </si>
  <si>
    <t xml:space="preserve">6. The longer the holding period, the fewer chance to closed postions with negative result. </t>
  </si>
  <si>
    <t>7. Fluctuation and downside is unavoidable, but with a longer holding period, and a long term growing Economy, you will endure the downside, and have a bigger chance to be ended up with a positive result</t>
  </si>
  <si>
    <t>3. Second, the best choice in the past is definitely not the best choice now</t>
  </si>
  <si>
    <t>risk adjusted Ret</t>
  </si>
  <si>
    <t>7. So whether we can limit the max ratio to 15%? Yes, we can add constrains to the simulations, like not allow selling short</t>
  </si>
  <si>
    <t>18. 5% percentile is finding 95% chance bigger than that value, extremely conservative</t>
  </si>
  <si>
    <t>19. be more realistic, we can use 25% percentile</t>
  </si>
  <si>
    <t>Conservative Ending Value (75% Chance Iteration)</t>
  </si>
  <si>
    <t>Annualized Return% (For each year within the period)</t>
  </si>
  <si>
    <t>So we need maunally update the remaining cash and exposure value</t>
  </si>
  <si>
    <t>We are not going to buy fixed amount of assets per term, but maintain a ceratin ratio of them in the portfolio. So when it is expensive, we would buy fewer, when it is cheap, we would buy more</t>
  </si>
  <si>
    <t>We want constant pmt, not constant exposure per term (since exposure = market value, which is variable)</t>
  </si>
  <si>
    <t>To determine the relanacing ratio based on the asset price on the rebalancing date</t>
  </si>
  <si>
    <t>We fixed the mistakes about the exposure this month. We used to ignore the variable market value</t>
  </si>
  <si>
    <t>7. Just stick to 6:4 or 7:3, since we don’t know whether the Econ in the future would be the same or not. And it is derived from the past performance. Cannot predict anything about the future</t>
  </si>
  <si>
    <t>be aware the index mean should be updated quaterly</t>
  </si>
  <si>
    <t>update the current units mannully too</t>
  </si>
  <si>
    <t>Exposure (USD)/Long Stock Value</t>
  </si>
  <si>
    <t>Double Check</t>
  </si>
  <si>
    <t>Current Position</t>
  </si>
  <si>
    <t>Required Positions</t>
  </si>
  <si>
    <t>5. And TIP holds 45 treasury bonds, (VTIP, 18) covering more asset, and more diversified.</t>
  </si>
  <si>
    <t>Total</t>
  </si>
  <si>
    <t>Regular investment amt(Mly)</t>
  </si>
  <si>
    <t>Regular investment amt(Qly)</t>
  </si>
  <si>
    <t>20. percentile remarks, you will sort the data from small to largest first</t>
  </si>
  <si>
    <t>8. Run the Monte Carlo test to see what range our ending value after certain investment period would be positioned, and 95% confidence about the VaR</t>
  </si>
  <si>
    <t xml:space="preserve">10. Once we have the port_std, we can have the VaR based on the alpha we chosen, like 95% confidence is +-2.3std in t-dist </t>
  </si>
  <si>
    <t>5. Once we got the variance table, we can determine a target return and require a min std to achive it, then solve the required ratio of assets</t>
  </si>
  <si>
    <t>Rolling Return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</si>
</sst>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00%"/>
    <numFmt numFmtId="166" formatCode="0.0%"/>
  </numFmts>
  <fonts count="15">
    <font>
      <sz val="12"/>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b/>
      <sz val="11"/>
      <color theme="1"/>
      <name val="Calibri"/>
      <family val="2"/>
      <scheme val="minor"/>
    </font>
    <font>
      <i/>
      <sz val="12"/>
      <color theme="1"/>
      <name val="Calibri"/>
      <family val="2"/>
      <scheme val="minor"/>
    </font>
    <font>
      <sz val="12"/>
      <color rgb="FF0EA600"/>
      <name val="Inherit"/>
    </font>
    <font>
      <sz val="12"/>
      <color rgb="FFFF0000"/>
      <name val="Inherit"/>
    </font>
    <font>
      <sz val="13"/>
      <color rgb="FF000000"/>
      <name val="Helvetica Neue"/>
      <family val="2"/>
    </font>
    <font>
      <sz val="12"/>
      <color rgb="FFFF0000"/>
      <name val="Calibri"/>
      <family val="2"/>
      <scheme val="minor"/>
    </font>
    <font>
      <sz val="8"/>
      <name val="Calibri"/>
      <family val="2"/>
      <scheme val="minor"/>
    </font>
    <font>
      <sz val="12"/>
      <color rgb="FF00B0F0"/>
      <name val="Calibri"/>
      <family val="2"/>
      <scheme val="minor"/>
    </font>
    <font>
      <b/>
      <sz val="12"/>
      <color theme="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rgb="FFFFC000"/>
        <bgColor indexed="64"/>
      </patternFill>
    </fill>
    <fill>
      <patternFill patternType="solid">
        <fgColor rgb="FF00B0F0"/>
        <bgColor indexed="64"/>
      </patternFill>
    </fill>
    <fill>
      <patternFill patternType="solid">
        <fgColor theme="7"/>
        <bgColor indexed="64"/>
      </patternFill>
    </fill>
    <fill>
      <patternFill patternType="solid">
        <fgColor rgb="FFFFFF00"/>
        <bgColor indexed="64"/>
      </patternFill>
    </fill>
    <fill>
      <patternFill patternType="solid">
        <fgColor theme="8" tint="0.39997558519241921"/>
        <bgColor indexed="64"/>
      </patternFill>
    </fill>
    <fill>
      <patternFill patternType="solid">
        <fgColor theme="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1" tint="0.49998474074526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102">
    <xf numFmtId="0" fontId="0" fillId="0" borderId="0" xfId="0"/>
    <xf numFmtId="10" fontId="0" fillId="0" borderId="0" xfId="1" applyNumberFormat="1" applyFont="1"/>
    <xf numFmtId="10" fontId="0" fillId="0" borderId="0" xfId="0" applyNumberFormat="1"/>
    <xf numFmtId="0" fontId="0" fillId="0" borderId="1" xfId="0" applyBorder="1"/>
    <xf numFmtId="0" fontId="4" fillId="0" borderId="1" xfId="0" applyFont="1" applyBorder="1"/>
    <xf numFmtId="0" fontId="0" fillId="0" borderId="1" xfId="0" applyBorder="1" applyAlignment="1">
      <alignment horizontal="center"/>
    </xf>
    <xf numFmtId="0" fontId="0" fillId="0" borderId="0" xfId="0" applyAlignment="1">
      <alignment vertical="center"/>
    </xf>
    <xf numFmtId="0" fontId="4" fillId="0" borderId="1" xfId="0" applyFont="1" applyBorder="1" applyAlignment="1">
      <alignment horizontal="center"/>
    </xf>
    <xf numFmtId="0" fontId="3" fillId="0" borderId="0" xfId="2"/>
    <xf numFmtId="10" fontId="0" fillId="0" borderId="1" xfId="1" applyNumberFormat="1" applyFont="1" applyBorder="1"/>
    <xf numFmtId="10" fontId="0" fillId="0" borderId="1" xfId="0" applyNumberFormat="1" applyBorder="1"/>
    <xf numFmtId="10" fontId="0" fillId="0" borderId="1" xfId="1" applyNumberFormat="1" applyFont="1" applyBorder="1" applyAlignment="1">
      <alignment horizontal="center"/>
    </xf>
    <xf numFmtId="1" fontId="0" fillId="0" borderId="1" xfId="0" applyNumberFormat="1" applyBorder="1" applyAlignment="1">
      <alignment horizontal="center"/>
    </xf>
    <xf numFmtId="10" fontId="0" fillId="0" borderId="1" xfId="0" applyNumberFormat="1" applyBorder="1" applyAlignment="1">
      <alignment horizontal="center"/>
    </xf>
    <xf numFmtId="3" fontId="0" fillId="0" borderId="1" xfId="1" applyNumberFormat="1" applyFont="1" applyBorder="1"/>
    <xf numFmtId="0" fontId="0" fillId="2" borderId="1" xfId="0" applyFill="1" applyBorder="1"/>
    <xf numFmtId="17" fontId="0" fillId="0" borderId="0" xfId="0" applyNumberFormat="1"/>
    <xf numFmtId="2" fontId="0" fillId="0" borderId="0" xfId="0" applyNumberFormat="1"/>
    <xf numFmtId="0" fontId="5" fillId="0" borderId="1" xfId="0" applyFont="1" applyBorder="1" applyAlignment="1">
      <alignment horizontal="center"/>
    </xf>
    <xf numFmtId="9" fontId="0" fillId="0" borderId="1" xfId="0" applyNumberFormat="1" applyBorder="1"/>
    <xf numFmtId="0" fontId="0" fillId="0" borderId="0" xfId="1" applyNumberFormat="1" applyFont="1"/>
    <xf numFmtId="0" fontId="0" fillId="0" borderId="1" xfId="0" quotePrefix="1" applyBorder="1"/>
    <xf numFmtId="9" fontId="0" fillId="0" borderId="1" xfId="0" quotePrefix="1" applyNumberFormat="1" applyBorder="1"/>
    <xf numFmtId="0" fontId="2" fillId="2" borderId="1" xfId="0" applyFont="1" applyFill="1" applyBorder="1"/>
    <xf numFmtId="10" fontId="0" fillId="0" borderId="1" xfId="1" applyNumberFormat="1" applyFont="1" applyFill="1" applyBorder="1" applyAlignment="1"/>
    <xf numFmtId="2" fontId="0" fillId="0" borderId="1" xfId="0" applyNumberFormat="1" applyBorder="1"/>
    <xf numFmtId="4" fontId="0" fillId="0" borderId="0" xfId="0" applyNumberFormat="1"/>
    <xf numFmtId="1" fontId="0" fillId="0" borderId="1" xfId="0" applyNumberFormat="1" applyBorder="1"/>
    <xf numFmtId="0" fontId="6" fillId="0" borderId="0" xfId="0" applyFont="1"/>
    <xf numFmtId="0" fontId="7" fillId="0" borderId="0" xfId="0" applyFont="1"/>
    <xf numFmtId="9" fontId="0" fillId="0" borderId="1" xfId="1" applyFont="1" applyBorder="1"/>
    <xf numFmtId="0" fontId="0" fillId="2" borderId="2" xfId="0" applyFill="1" applyBorder="1"/>
    <xf numFmtId="0" fontId="5" fillId="0" borderId="3" xfId="0" applyFont="1" applyBorder="1" applyAlignment="1">
      <alignment horizontal="centerContinuous"/>
    </xf>
    <xf numFmtId="4" fontId="6" fillId="0" borderId="0" xfId="0" applyNumberFormat="1" applyFont="1"/>
    <xf numFmtId="4" fontId="7" fillId="0" borderId="0" xfId="0" applyNumberFormat="1" applyFont="1"/>
    <xf numFmtId="10" fontId="0" fillId="0" borderId="0" xfId="0" applyNumberFormat="1" applyAlignment="1">
      <alignment vertical="center"/>
    </xf>
    <xf numFmtId="164" fontId="0" fillId="0" borderId="0" xfId="3" applyNumberFormat="1" applyFont="1"/>
    <xf numFmtId="0" fontId="2" fillId="3" borderId="0" xfId="0" applyFont="1" applyFill="1"/>
    <xf numFmtId="0" fontId="2" fillId="4" borderId="0" xfId="0" applyFont="1" applyFill="1"/>
    <xf numFmtId="0" fontId="2" fillId="5" borderId="1" xfId="0" applyFont="1" applyFill="1" applyBorder="1"/>
    <xf numFmtId="0" fontId="3" fillId="0" borderId="1" xfId="2" applyBorder="1"/>
    <xf numFmtId="0" fontId="3" fillId="0" borderId="0" xfId="2" applyBorder="1"/>
    <xf numFmtId="9" fontId="0" fillId="0" borderId="0" xfId="0" applyNumberFormat="1"/>
    <xf numFmtId="0" fontId="5" fillId="0" borderId="1" xfId="0" applyFont="1" applyFill="1" applyBorder="1" applyAlignment="1">
      <alignment horizontal="center"/>
    </xf>
    <xf numFmtId="0" fontId="0" fillId="0" borderId="1" xfId="0" applyNumberFormat="1" applyFill="1" applyBorder="1" applyAlignment="1"/>
    <xf numFmtId="0" fontId="0" fillId="0" borderId="1" xfId="0" applyFill="1" applyBorder="1" applyAlignment="1"/>
    <xf numFmtId="0" fontId="8" fillId="0" borderId="0" xfId="0" applyFont="1"/>
    <xf numFmtId="10" fontId="8" fillId="0" borderId="0" xfId="0" applyNumberFormat="1" applyFont="1"/>
    <xf numFmtId="9" fontId="0" fillId="0" borderId="0" xfId="1" applyFont="1"/>
    <xf numFmtId="165" fontId="0" fillId="0" borderId="1" xfId="1" applyNumberFormat="1" applyFont="1" applyBorder="1"/>
    <xf numFmtId="10" fontId="9" fillId="0" borderId="1" xfId="0" applyNumberFormat="1" applyFont="1" applyBorder="1"/>
    <xf numFmtId="0" fontId="9" fillId="0" borderId="1" xfId="0" applyFont="1" applyBorder="1"/>
    <xf numFmtId="9" fontId="9" fillId="0" borderId="1" xfId="1" applyFont="1" applyBorder="1"/>
    <xf numFmtId="0" fontId="9" fillId="0" borderId="0" xfId="0" applyFont="1"/>
    <xf numFmtId="165" fontId="9" fillId="0" borderId="1" xfId="1" applyNumberFormat="1" applyFont="1" applyBorder="1"/>
    <xf numFmtId="10" fontId="9" fillId="0" borderId="1" xfId="1" applyNumberFormat="1" applyFont="1" applyBorder="1"/>
    <xf numFmtId="0" fontId="0" fillId="6" borderId="0" xfId="0" applyFill="1" applyBorder="1"/>
    <xf numFmtId="9" fontId="0" fillId="6" borderId="0" xfId="0" applyNumberFormat="1" applyFill="1"/>
    <xf numFmtId="0" fontId="0" fillId="6" borderId="1" xfId="0" applyFill="1" applyBorder="1"/>
    <xf numFmtId="1" fontId="0" fillId="0" borderId="0" xfId="0" applyNumberFormat="1"/>
    <xf numFmtId="164" fontId="0" fillId="0" borderId="1" xfId="3" applyNumberFormat="1" applyFont="1" applyBorder="1"/>
    <xf numFmtId="164" fontId="0" fillId="6" borderId="1" xfId="3" applyNumberFormat="1" applyFont="1" applyFill="1" applyBorder="1"/>
    <xf numFmtId="164" fontId="0" fillId="4" borderId="1" xfId="3" applyNumberFormat="1" applyFont="1" applyFill="1" applyBorder="1"/>
    <xf numFmtId="164" fontId="0" fillId="0" borderId="1" xfId="0" applyNumberFormat="1" applyBorder="1"/>
    <xf numFmtId="166" fontId="0" fillId="0" borderId="0" xfId="1" applyNumberFormat="1" applyFont="1"/>
    <xf numFmtId="0" fontId="0" fillId="2" borderId="0" xfId="0" applyFill="1"/>
    <xf numFmtId="166" fontId="0" fillId="6" borderId="0" xfId="1" applyNumberFormat="1" applyFont="1" applyFill="1" applyBorder="1"/>
    <xf numFmtId="49" fontId="0" fillId="0" borderId="1" xfId="0" applyNumberFormat="1" applyBorder="1"/>
    <xf numFmtId="49" fontId="0" fillId="0" borderId="0" xfId="0" applyNumberFormat="1" applyFill="1" applyBorder="1"/>
    <xf numFmtId="2" fontId="0" fillId="0" borderId="0" xfId="1" applyNumberFormat="1" applyFont="1"/>
    <xf numFmtId="164" fontId="0" fillId="0" borderId="0" xfId="0" applyNumberFormat="1"/>
    <xf numFmtId="164" fontId="0" fillId="0" borderId="0" xfId="3" applyNumberFormat="1" applyFont="1" applyBorder="1"/>
    <xf numFmtId="0" fontId="0" fillId="0" borderId="0" xfId="0" applyBorder="1"/>
    <xf numFmtId="0" fontId="0" fillId="0" borderId="0" xfId="0" applyFill="1" applyBorder="1" applyAlignment="1"/>
    <xf numFmtId="0" fontId="5" fillId="0" borderId="0" xfId="0" applyFont="1" applyFill="1" applyBorder="1" applyAlignment="1">
      <alignment horizontal="centerContinuous"/>
    </xf>
    <xf numFmtId="17" fontId="11" fillId="7" borderId="0" xfId="0" applyNumberFormat="1" applyFont="1" applyFill="1"/>
    <xf numFmtId="166" fontId="0" fillId="0" borderId="1" xfId="0" applyNumberFormat="1" applyBorder="1"/>
    <xf numFmtId="0" fontId="12" fillId="8" borderId="4" xfId="0" applyFont="1" applyFill="1" applyBorder="1"/>
    <xf numFmtId="0" fontId="12" fillId="8" borderId="5" xfId="0" applyFont="1" applyFill="1" applyBorder="1"/>
    <xf numFmtId="17" fontId="0" fillId="9" borderId="6" xfId="0" applyNumberFormat="1" applyFont="1" applyFill="1" applyBorder="1"/>
    <xf numFmtId="0" fontId="0" fillId="9" borderId="6" xfId="0" applyFont="1" applyFill="1" applyBorder="1"/>
    <xf numFmtId="0" fontId="0" fillId="9" borderId="1" xfId="0" applyFont="1" applyFill="1" applyBorder="1"/>
    <xf numFmtId="17" fontId="0" fillId="0" borderId="1" xfId="0" applyNumberFormat="1" applyBorder="1"/>
    <xf numFmtId="0" fontId="0" fillId="10" borderId="1" xfId="0" applyFill="1" applyBorder="1"/>
    <xf numFmtId="0" fontId="0" fillId="0" borderId="1" xfId="0" applyFill="1" applyBorder="1"/>
    <xf numFmtId="1" fontId="0" fillId="0" borderId="1" xfId="0" applyNumberFormat="1" applyFill="1" applyBorder="1"/>
    <xf numFmtId="1" fontId="0" fillId="5" borderId="1" xfId="0" applyNumberFormat="1" applyFill="1" applyBorder="1"/>
    <xf numFmtId="0" fontId="0" fillId="4" borderId="1" xfId="0" applyFill="1" applyBorder="1" applyAlignment="1">
      <alignment wrapText="1"/>
    </xf>
    <xf numFmtId="0" fontId="12" fillId="8" borderId="0" xfId="0" applyFont="1" applyFill="1" applyBorder="1"/>
    <xf numFmtId="0" fontId="0" fillId="0" borderId="0" xfId="0" applyAlignment="1">
      <alignment wrapText="1"/>
    </xf>
    <xf numFmtId="2" fontId="0" fillId="10" borderId="1" xfId="0" applyNumberFormat="1" applyFill="1" applyBorder="1"/>
    <xf numFmtId="0" fontId="0" fillId="5" borderId="1" xfId="0" applyFill="1" applyBorder="1"/>
    <xf numFmtId="1" fontId="0" fillId="10" borderId="1" xfId="0" applyNumberFormat="1" applyFill="1" applyBorder="1"/>
    <xf numFmtId="2" fontId="0" fillId="0" borderId="1" xfId="0" applyNumberFormat="1" applyFill="1" applyBorder="1"/>
    <xf numFmtId="0" fontId="0" fillId="0" borderId="0" xfId="0" applyFill="1" applyBorder="1"/>
    <xf numFmtId="1" fontId="0" fillId="0" borderId="0" xfId="0" applyNumberFormat="1" applyFill="1" applyBorder="1"/>
    <xf numFmtId="2" fontId="0" fillId="0" borderId="0" xfId="0" applyNumberFormat="1" applyFill="1" applyBorder="1"/>
    <xf numFmtId="10" fontId="0" fillId="0" borderId="0" xfId="0" applyNumberFormat="1" applyFill="1" applyBorder="1"/>
    <xf numFmtId="166" fontId="0" fillId="0" borderId="0" xfId="0" applyNumberFormat="1" applyFill="1" applyBorder="1"/>
    <xf numFmtId="9" fontId="0" fillId="0" borderId="0" xfId="0" applyNumberFormat="1" applyFill="1" applyBorder="1"/>
    <xf numFmtId="0" fontId="0" fillId="2" borderId="0" xfId="0" applyFill="1" applyAlignment="1">
      <alignment horizontal="center"/>
    </xf>
    <xf numFmtId="0" fontId="0" fillId="11" borderId="0" xfId="0" applyFill="1"/>
  </cellXfs>
  <cellStyles count="4">
    <cellStyle name="Comma" xfId="3" builtinId="3"/>
    <cellStyle name="Hyperlink" xfId="2" builtinId="8"/>
    <cellStyle name="Normal" xfId="0" builtinId="0"/>
    <cellStyle name="Per cent" xfId="1" builtinId="5"/>
  </cellStyles>
  <dxfs count="156">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numFmt numFmtId="0" formatCode="General"/>
    </dxf>
    <dxf>
      <numFmt numFmtId="0" formatCode="General"/>
    </dxf>
    <dxf>
      <numFmt numFmtId="2" formatCode="0.00"/>
    </dxf>
    <dxf>
      <numFmt numFmtId="22" formatCode="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Rolling Return (annualized</a:t>
            </a:r>
            <a:r>
              <a:rPr lang="en-GB" baseline="0"/>
              <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'Rolling Return_Tem'!$E$14</c:f>
              <c:strCache>
                <c:ptCount val="1"/>
                <c:pt idx="0">
                  <c:v>Rolling Return (annualized)</c:v>
                </c:pt>
              </c:strCache>
            </c:strRef>
          </c:tx>
          <c:spPr>
            <a:solidFill>
              <a:srgbClr val="ED7D31"/>
            </a:solidFill>
            <a:ln>
              <a:noFill/>
            </a:ln>
            <a:effectLst/>
          </c:spPr>
          <c:invertIfNegative val="1"/>
          <c:cat>
            <c:numRef>
              <c:f>'Rolling Return_Tem'!$A$15:$A$242</c:f>
              <c:numCache>
                <c:formatCode>mmm\-yy</c:formatCode>
                <c:ptCount val="22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numCache>
            </c:numRef>
          </c:cat>
          <c:val>
            <c:numRef>
              <c:f>'Rolling Return_Tem'!$E$15:$E$242</c:f>
              <c:numCache>
                <c:formatCode>General</c:formatCode>
                <c:ptCount val="228"/>
                <c:pt idx="0">
                  <c:v>0</c:v>
                </c:pt>
                <c:pt idx="1">
                  <c:v>0</c:v>
                </c:pt>
                <c:pt idx="2">
                  <c:v>0</c:v>
                </c:pt>
                <c:pt idx="3">
                  <c:v>0</c:v>
                </c:pt>
                <c:pt idx="4">
                  <c:v>0</c:v>
                </c:pt>
                <c:pt idx="5">
                  <c:v>0</c:v>
                </c:pt>
                <c:pt idx="6" formatCode="0.0%">
                  <c:v>0</c:v>
                </c:pt>
                <c:pt idx="7" formatCode="0.0%">
                  <c:v>0</c:v>
                </c:pt>
                <c:pt idx="8" formatCode="0.0%">
                  <c:v>0</c:v>
                </c:pt>
                <c:pt idx="9" formatCode="0.0%">
                  <c:v>0</c:v>
                </c:pt>
                <c:pt idx="10" formatCode="0.0%">
                  <c:v>0</c:v>
                </c:pt>
                <c:pt idx="11" formatCode="0.0%">
                  <c:v>0</c:v>
                </c:pt>
                <c:pt idx="12" formatCode="0.0%">
                  <c:v>-0.18292945058368201</c:v>
                </c:pt>
                <c:pt idx="13" formatCode="0.0%">
                  <c:v>-0.24920134387662574</c:v>
                </c:pt>
                <c:pt idx="14" formatCode="0.0%">
                  <c:v>-0.18247307722017198</c:v>
                </c:pt>
                <c:pt idx="15" formatCode="0.0%">
                  <c:v>-0.19823532902656646</c:v>
                </c:pt>
                <c:pt idx="16" formatCode="0.0%">
                  <c:v>-0.14678127103480268</c:v>
                </c:pt>
                <c:pt idx="17" formatCode="0.0%">
                  <c:v>-0.16171807308354647</c:v>
                </c:pt>
                <c:pt idx="18" formatCode="0.0%">
                  <c:v>-0.22790779023369723</c:v>
                </c:pt>
                <c:pt idx="19" formatCode="0.0%">
                  <c:v>-0.24593856555308741</c:v>
                </c:pt>
                <c:pt idx="20" formatCode="0.0%">
                  <c:v>-0.24386397673827309</c:v>
                </c:pt>
                <c:pt idx="21" formatCode="0.0%">
                  <c:v>-0.27269276039352885</c:v>
                </c:pt>
                <c:pt idx="22" formatCode="0.0%">
                  <c:v>-0.14581954187299073</c:v>
                </c:pt>
                <c:pt idx="23" formatCode="0.0%">
                  <c:v>-7.55792516666456E-2</c:v>
                </c:pt>
                <c:pt idx="24" formatCode="0.0%">
                  <c:v>1.1256807756676254E-2</c:v>
                </c:pt>
                <c:pt idx="25" formatCode="0.0%">
                  <c:v>0.12233657497845345</c:v>
                </c:pt>
                <c:pt idx="26" formatCode="0.0%">
                  <c:v>0.13850668861994561</c:v>
                </c:pt>
                <c:pt idx="27" formatCode="0.0%">
                  <c:v>0.23628519802955145</c:v>
                </c:pt>
                <c:pt idx="28" formatCode="0.0%">
                  <c:v>0.22224024521246089</c:v>
                </c:pt>
                <c:pt idx="29" formatCode="0.0%">
                  <c:v>0.17814418962804673</c:v>
                </c:pt>
                <c:pt idx="30" formatCode="0.0%">
                  <c:v>0.27153926193113637</c:v>
                </c:pt>
                <c:pt idx="31" formatCode="0.0%">
                  <c:v>0.32630520478199415</c:v>
                </c:pt>
                <c:pt idx="32" formatCode="0.0%">
                  <c:v>0.35660610901668044</c:v>
                </c:pt>
                <c:pt idx="33" formatCode="0.0%">
                  <c:v>0.33877596739799709</c:v>
                </c:pt>
                <c:pt idx="34" formatCode="0.0%">
                  <c:v>0.23069854244147558</c:v>
                </c:pt>
                <c:pt idx="35" formatCode="0.0%">
                  <c:v>0.18767542429330752</c:v>
                </c:pt>
                <c:pt idx="36" formatCode="0.0%">
                  <c:v>0.19153938164739942</c:v>
                </c:pt>
                <c:pt idx="37" formatCode="0.0%">
                  <c:v>0.13180926779861854</c:v>
                </c:pt>
                <c:pt idx="38" formatCode="0.0%">
                  <c:v>0.10853314498370517</c:v>
                </c:pt>
                <c:pt idx="39" formatCode="0.0%">
                  <c:v>0.13602877947862368</c:v>
                </c:pt>
                <c:pt idx="40" formatCode="0.0%">
                  <c:v>9.4762263524871868E-2</c:v>
                </c:pt>
                <c:pt idx="41" formatCode="0.0%">
                  <c:v>0.12646824220576205</c:v>
                </c:pt>
                <c:pt idx="42" formatCode="0.0%">
                  <c:v>0.11844981663792929</c:v>
                </c:pt>
                <c:pt idx="43" formatCode="0.0%">
                  <c:v>6.93969944410575E-2</c:v>
                </c:pt>
                <c:pt idx="44" formatCode="0.0%">
                  <c:v>7.6166901890499031E-2</c:v>
                </c:pt>
                <c:pt idx="45" formatCode="0.0%">
                  <c:v>6.6930315556798486E-2</c:v>
                </c:pt>
                <c:pt idx="46" formatCode="0.0%">
                  <c:v>6.772324801274332E-2</c:v>
                </c:pt>
                <c:pt idx="47" formatCode="0.0%">
                  <c:v>9.1558044029957597E-2</c:v>
                </c:pt>
                <c:pt idx="48" formatCode="0.0%">
                  <c:v>7.8924097201707663E-2</c:v>
                </c:pt>
                <c:pt idx="49" formatCode="0.0%">
                  <c:v>0.15876732492455226</c:v>
                </c:pt>
                <c:pt idx="50" formatCode="0.0%">
                  <c:v>0.14712208212629041</c:v>
                </c:pt>
                <c:pt idx="51" formatCode="0.0%">
                  <c:v>0.13706347415887582</c:v>
                </c:pt>
                <c:pt idx="52" formatCode="0.0%">
                  <c:v>9.6210615545811479E-2</c:v>
                </c:pt>
                <c:pt idx="53" formatCode="0.0%">
                  <c:v>9.5015359596364812E-2</c:v>
                </c:pt>
                <c:pt idx="54" formatCode="0.0%">
                  <c:v>6.2581666289910604E-2</c:v>
                </c:pt>
                <c:pt idx="55" formatCode="0.0%">
                  <c:v>0.11870631490704486</c:v>
                </c:pt>
                <c:pt idx="56" formatCode="0.0%">
                  <c:v>0.10009831011774714</c:v>
                </c:pt>
                <c:pt idx="57" formatCode="0.0%">
                  <c:v>0.13946022553118503</c:v>
                </c:pt>
                <c:pt idx="58" formatCode="0.0%">
                  <c:v>0.17188698132798919</c:v>
                </c:pt>
                <c:pt idx="59" formatCode="0.0%">
                  <c:v>0.1002371976695241</c:v>
                </c:pt>
                <c:pt idx="60" formatCode="0.0%">
                  <c:v>9.3070586298329525E-2</c:v>
                </c:pt>
                <c:pt idx="61" formatCode="0.0%">
                  <c:v>4.9653013777041149E-2</c:v>
                </c:pt>
                <c:pt idx="62" formatCode="0.0%">
                  <c:v>8.3500459341344396E-2</c:v>
                </c:pt>
                <c:pt idx="63" formatCode="0.0%">
                  <c:v>9.8752196788606639E-2</c:v>
                </c:pt>
                <c:pt idx="64" formatCode="0.0%">
                  <c:v>0.1571527066905809</c:v>
                </c:pt>
                <c:pt idx="65" formatCode="0.0%">
                  <c:v>0.13478506281651942</c:v>
                </c:pt>
                <c:pt idx="66" formatCode="0.0%">
                  <c:v>0.146973005632451</c:v>
                </c:pt>
                <c:pt idx="67" formatCode="0.0%">
                  <c:v>0.13329691494622359</c:v>
                </c:pt>
                <c:pt idx="68" formatCode="0.0%">
                  <c:v>0.11453036596685853</c:v>
                </c:pt>
                <c:pt idx="69" formatCode="0.0%">
                  <c:v>0.10507635889532839</c:v>
                </c:pt>
                <c:pt idx="70" formatCode="0.0%">
                  <c:v>0.13551178797007174</c:v>
                </c:pt>
                <c:pt idx="71" formatCode="0.0%">
                  <c:v>0.20582631550958452</c:v>
                </c:pt>
                <c:pt idx="72" formatCode="0.0%">
                  <c:v>0.18693776153184646</c:v>
                </c:pt>
                <c:pt idx="73" formatCode="0.0%">
                  <c:v>0.1511191340305405</c:v>
                </c:pt>
                <c:pt idx="74" formatCode="0.0%">
                  <c:v>0.14289815333840847</c:v>
                </c:pt>
                <c:pt idx="75" formatCode="0.0%">
                  <c:v>0.15830735015872371</c:v>
                </c:pt>
                <c:pt idx="76" formatCode="0.0%">
                  <c:v>0.1413497805984972</c:v>
                </c:pt>
                <c:pt idx="77" formatCode="0.0%">
                  <c:v>7.1431709233559099E-2</c:v>
                </c:pt>
                <c:pt idx="78" formatCode="0.0%">
                  <c:v>5.2137394613843521E-2</c:v>
                </c:pt>
                <c:pt idx="79" formatCode="0.0%">
                  <c:v>-2.9743210848544317E-2</c:v>
                </c:pt>
                <c:pt idx="80" formatCode="0.0%">
                  <c:v>-3.8620698345081673E-2</c:v>
                </c:pt>
                <c:pt idx="81" formatCode="0.0%">
                  <c:v>-5.906429195491638E-2</c:v>
                </c:pt>
                <c:pt idx="82" formatCode="0.0%">
                  <c:v>-5.0443932108157438E-2</c:v>
                </c:pt>
                <c:pt idx="83" formatCode="0.0%">
                  <c:v>-6.696489218370244E-2</c:v>
                </c:pt>
                <c:pt idx="84" formatCode="0.0%">
                  <c:v>-0.13422803420180032</c:v>
                </c:pt>
                <c:pt idx="85" formatCode="0.0%">
                  <c:v>-0.10388529138200689</c:v>
                </c:pt>
                <c:pt idx="86" formatCode="0.0%">
                  <c:v>-0.10399282695080217</c:v>
                </c:pt>
                <c:pt idx="87" formatCode="0.0%">
                  <c:v>-0.23744983755379367</c:v>
                </c:pt>
                <c:pt idx="88" formatCode="0.0%">
                  <c:v>-0.44072489310734153</c:v>
                </c:pt>
                <c:pt idx="89" formatCode="0.0%">
                  <c:v>-0.47656897025013578</c:v>
                </c:pt>
                <c:pt idx="90" formatCode="0.0%">
                  <c:v>-0.45522271969729311</c:v>
                </c:pt>
                <c:pt idx="91" formatCode="0.0%">
                  <c:v>-0.47250352202667845</c:v>
                </c:pt>
                <c:pt idx="92" formatCode="0.0%">
                  <c:v>-0.55475608465676407</c:v>
                </c:pt>
                <c:pt idx="93" formatCode="0.0%">
                  <c:v>-0.47224424313997193</c:v>
                </c:pt>
                <c:pt idx="94" formatCode="0.0%">
                  <c:v>-0.41558262642247434</c:v>
                </c:pt>
                <c:pt idx="95" formatCode="0.0%">
                  <c:v>-0.3834562991220376</c:v>
                </c:pt>
                <c:pt idx="96" formatCode="0.0%">
                  <c:v>-0.2978336396746778</c:v>
                </c:pt>
                <c:pt idx="97" formatCode="0.0%">
                  <c:v>-0.21855468437792075</c:v>
                </c:pt>
                <c:pt idx="98" formatCode="0.0%">
                  <c:v>-0.19699153103045355</c:v>
                </c:pt>
                <c:pt idx="99" formatCode="0.0%">
                  <c:v>-6.0674857524648226E-2</c:v>
                </c:pt>
                <c:pt idx="100" formatCode="0.0%">
                  <c:v>0.10473357947143945</c:v>
                </c:pt>
                <c:pt idx="101" formatCode="0.0%">
                  <c:v>0.24566199890968748</c:v>
                </c:pt>
                <c:pt idx="102" formatCode="0.0%">
                  <c:v>0.25791052677756593</c:v>
                </c:pt>
                <c:pt idx="103" formatCode="0.0%">
                  <c:v>0.30530034863756128</c:v>
                </c:pt>
                <c:pt idx="104" formatCode="0.0%">
                  <c:v>0.45492579688225337</c:v>
                </c:pt>
                <c:pt idx="105" formatCode="0.0%">
                  <c:v>0.43986749394798175</c:v>
                </c:pt>
                <c:pt idx="106" formatCode="0.0%">
                  <c:v>0.35138591958140164</c:v>
                </c:pt>
                <c:pt idx="107" formatCode="0.0%">
                  <c:v>0.21290246278672253</c:v>
                </c:pt>
                <c:pt idx="108" formatCode="0.0%">
                  <c:v>0.14823784048158442</c:v>
                </c:pt>
                <c:pt idx="109" formatCode="0.0%">
                  <c:v>0.1413411996305437</c:v>
                </c:pt>
                <c:pt idx="110" formatCode="0.0%">
                  <c:v>5.5949098332195427E-2</c:v>
                </c:pt>
                <c:pt idx="111" formatCode="0.0%">
                  <c:v>0.10562962035019574</c:v>
                </c:pt>
                <c:pt idx="112" formatCode="0.0%">
                  <c:v>0.17310911776839422</c:v>
                </c:pt>
                <c:pt idx="113" formatCode="0.0%">
                  <c:v>0.12222559503425136</c:v>
                </c:pt>
                <c:pt idx="114" formatCode="0.0%">
                  <c:v>0.16276475964579792</c:v>
                </c:pt>
                <c:pt idx="115" formatCode="0.0%">
                  <c:v>0.21922081812705468</c:v>
                </c:pt>
                <c:pt idx="116" formatCode="0.0%">
                  <c:v>0.22175334653680431</c:v>
                </c:pt>
                <c:pt idx="117" formatCode="0.0%">
                  <c:v>0.16278630311161787</c:v>
                </c:pt>
                <c:pt idx="118" formatCode="0.0%">
                  <c:v>0.17007392675006594</c:v>
                </c:pt>
                <c:pt idx="119" formatCode="0.0%">
                  <c:v>0.24274880680393135</c:v>
                </c:pt>
                <c:pt idx="120" formatCode="0.0%">
                  <c:v>0.28628183636200322</c:v>
                </c:pt>
                <c:pt idx="121" formatCode="0.0%">
                  <c:v>0.19311192807458361</c:v>
                </c:pt>
                <c:pt idx="122" formatCode="0.0%">
                  <c:v>0.17832861403722561</c:v>
                </c:pt>
                <c:pt idx="123" formatCode="0.0%">
                  <c:v>7.7333622832872016E-3</c:v>
                </c:pt>
                <c:pt idx="124" formatCode="0.0%">
                  <c:v>7.6268793683827649E-2</c:v>
                </c:pt>
                <c:pt idx="125" formatCode="0.0%">
                  <c:v>6.7382944087140628E-2</c:v>
                </c:pt>
                <c:pt idx="126" formatCode="0.0%">
                  <c:v>9.305664171318756E-3</c:v>
                </c:pt>
                <c:pt idx="127" formatCode="0.0%">
                  <c:v>3.8881586792359021E-2</c:v>
                </c:pt>
                <c:pt idx="128" formatCode="0.0%">
                  <c:v>4.3909229783394593E-2</c:v>
                </c:pt>
                <c:pt idx="129" formatCode="0.0%">
                  <c:v>6.996770420747897E-2</c:v>
                </c:pt>
                <c:pt idx="130" formatCode="0.0%">
                  <c:v>3.4982258439012093E-2</c:v>
                </c:pt>
                <c:pt idx="131" formatCode="0.0%">
                  <c:v>-1.8667143347740649E-2</c:v>
                </c:pt>
                <c:pt idx="132" formatCode="0.0%">
                  <c:v>3.8381841879568189E-2</c:v>
                </c:pt>
                <c:pt idx="133" formatCode="0.0%">
                  <c:v>7.097624487892859E-2</c:v>
                </c:pt>
                <c:pt idx="134" formatCode="0.0%">
                  <c:v>0.16132153653220432</c:v>
                </c:pt>
                <c:pt idx="135" formatCode="0.0%">
                  <c:v>0.26695138226346049</c:v>
                </c:pt>
                <c:pt idx="136" formatCode="0.0%">
                  <c:v>0.13852064134187902</c:v>
                </c:pt>
                <c:pt idx="137" formatCode="0.0%">
                  <c:v>0.15011227486326267</c:v>
                </c:pt>
                <c:pt idx="138" formatCode="0.0%">
                  <c:v>0.15155202597673273</c:v>
                </c:pt>
                <c:pt idx="139" formatCode="0.0%">
                  <c:v>0.1566191688689279</c:v>
                </c:pt>
                <c:pt idx="140" formatCode="0.0%">
                  <c:v>0.12769597113956649</c:v>
                </c:pt>
                <c:pt idx="141" formatCode="0.0%">
                  <c:v>0.13602514627759726</c:v>
                </c:pt>
                <c:pt idx="142" formatCode="0.0%">
                  <c:v>0.15888931245552307</c:v>
                </c:pt>
                <c:pt idx="143" formatCode="0.0%">
                  <c:v>0.2488106009775975</c:v>
                </c:pt>
                <c:pt idx="144" formatCode="0.0%">
                  <c:v>0.19405495763933067</c:v>
                </c:pt>
                <c:pt idx="145" formatCode="0.0%">
                  <c:v>0.24169567237034148</c:v>
                </c:pt>
                <c:pt idx="146" formatCode="0.0%">
                  <c:v>0.18323180523437019</c:v>
                </c:pt>
                <c:pt idx="147" formatCode="0.0%">
                  <c:v>0.19711226713604901</c:v>
                </c:pt>
                <c:pt idx="148" formatCode="0.0%">
                  <c:v>0.25821628151702819</c:v>
                </c:pt>
                <c:pt idx="149" formatCode="0.0%">
                  <c:v>0.27759427210467291</c:v>
                </c:pt>
                <c:pt idx="150" formatCode="0.0%">
                  <c:v>0.29421787893172413</c:v>
                </c:pt>
                <c:pt idx="151" formatCode="0.0%">
                  <c:v>0.20532635613243766</c:v>
                </c:pt>
                <c:pt idx="152" formatCode="0.0%">
                  <c:v>0.24075636012759638</c:v>
                </c:pt>
                <c:pt idx="153" formatCode="0.0%">
                  <c:v>0.20667699355154331</c:v>
                </c:pt>
                <c:pt idx="154" formatCode="0.0%">
                  <c:v>0.19091717018261622</c:v>
                </c:pt>
                <c:pt idx="155" formatCode="0.0%">
                  <c:v>0.18752428614615463</c:v>
                </c:pt>
                <c:pt idx="156" formatCode="0.0%">
                  <c:v>0.22915795746339204</c:v>
                </c:pt>
                <c:pt idx="157" formatCode="0.0%">
                  <c:v>0.15135112197386205</c:v>
                </c:pt>
                <c:pt idx="158" formatCode="0.0%">
                  <c:v>0.22391971847946818</c:v>
                </c:pt>
                <c:pt idx="159" formatCode="0.0%">
                  <c:v>0.16381214876762856</c:v>
                </c:pt>
                <c:pt idx="160" formatCode="0.0%">
                  <c:v>0.14865405499135856</c:v>
                </c:pt>
                <c:pt idx="161" formatCode="0.0%">
                  <c:v>0.14645951208357547</c:v>
                </c:pt>
                <c:pt idx="162" formatCode="0.0%">
                  <c:v>0.11880266895922015</c:v>
                </c:pt>
                <c:pt idx="163" formatCode="0.0%">
                  <c:v>0.12331755060153837</c:v>
                </c:pt>
                <c:pt idx="164" formatCode="0.0%">
                  <c:v>0.13171986330741703</c:v>
                </c:pt>
                <c:pt idx="165" formatCode="0.0%">
                  <c:v>0.11445734423205767</c:v>
                </c:pt>
                <c:pt idx="166" formatCode="0.0%">
                  <c:v>0.12034361786714234</c:v>
                </c:pt>
                <c:pt idx="167" formatCode="0.0%">
                  <c:v>0.11235608278491258</c:v>
                </c:pt>
                <c:pt idx="168" formatCode="0.0%">
                  <c:v>6.9105358077482082E-2</c:v>
                </c:pt>
                <c:pt idx="169" formatCode="0.0%">
                  <c:v>0.106550339015062</c:v>
                </c:pt>
                <c:pt idx="170" formatCode="0.0%">
                  <c:v>2.5612735162235077E-3</c:v>
                </c:pt>
                <c:pt idx="171" formatCode="0.0%">
                  <c:v>-6.4370672289540852E-3</c:v>
                </c:pt>
                <c:pt idx="172" formatCode="0.0%">
                  <c:v>4.3212340590290374E-2</c:v>
                </c:pt>
                <c:pt idx="173" formatCode="0.0%">
                  <c:v>2.4649529629921167E-2</c:v>
                </c:pt>
                <c:pt idx="174" formatCode="0.0%">
                  <c:v>3.1239176687039498E-3</c:v>
                </c:pt>
                <c:pt idx="175" formatCode="0.0%">
                  <c:v>-2.7626468317550661E-2</c:v>
                </c:pt>
                <c:pt idx="176" formatCode="0.0%">
                  <c:v>-8.3301482602829185E-2</c:v>
                </c:pt>
                <c:pt idx="177" formatCode="0.0%">
                  <c:v>-3.2055579404708275E-3</c:v>
                </c:pt>
                <c:pt idx="178" formatCode="0.0%">
                  <c:v>-2.7837419702740019E-3</c:v>
                </c:pt>
                <c:pt idx="179" formatCode="0.0%">
                  <c:v>1.5213352952255089E-3</c:v>
                </c:pt>
                <c:pt idx="180" formatCode="0.0%">
                  <c:v>2.1033601617937322E-2</c:v>
                </c:pt>
                <c:pt idx="181" formatCode="0.0%">
                  <c:v>4.3341360675604311E-2</c:v>
                </c:pt>
                <c:pt idx="182" formatCode="0.0%">
                  <c:v>0.10866395559904668</c:v>
                </c:pt>
                <c:pt idx="183" formatCode="0.0%">
                  <c:v>0.14086711329382107</c:v>
                </c:pt>
                <c:pt idx="184" formatCode="0.0%">
                  <c:v>4.1601677122759459E-2</c:v>
                </c:pt>
                <c:pt idx="185" formatCode="0.0%">
                  <c:v>7.9732152367803857E-2</c:v>
                </c:pt>
                <c:pt idx="186" formatCode="0.0%">
                  <c:v>0.12065992649168296</c:v>
                </c:pt>
                <c:pt idx="187" formatCode="0.0%">
                  <c:v>0.19957400066777564</c:v>
                </c:pt>
                <c:pt idx="188" formatCode="0.0%">
                  <c:v>0.23661956820856861</c:v>
                </c:pt>
                <c:pt idx="189" formatCode="0.0%">
                  <c:v>0.16750950512336668</c:v>
                </c:pt>
                <c:pt idx="190" formatCode="0.0%">
                  <c:v>0.17141259258516942</c:v>
                </c:pt>
                <c:pt idx="191" formatCode="0.0%">
                  <c:v>0.16417977084473692</c:v>
                </c:pt>
                <c:pt idx="192" formatCode="0.0%">
                  <c:v>0.17078179269384047</c:v>
                </c:pt>
                <c:pt idx="193" formatCode="0.0%">
                  <c:v>0.15034267296971823</c:v>
                </c:pt>
                <c:pt idx="194" formatCode="0.0%">
                  <c:v>0.14977101985036842</c:v>
                </c:pt>
                <c:pt idx="195" formatCode="0.0%">
                  <c:v>0.17275192410181339</c:v>
                </c:pt>
                <c:pt idx="196" formatCode="0.0%">
                  <c:v>0.21651697219385518</c:v>
                </c:pt>
                <c:pt idx="197" formatCode="0.0%">
                  <c:v>0.20219573045786782</c:v>
                </c:pt>
                <c:pt idx="198" formatCode="0.0%">
                  <c:v>0.19529176871627626</c:v>
                </c:pt>
                <c:pt idx="199" formatCode="0.0%">
                  <c:v>0.22710906416691734</c:v>
                </c:pt>
                <c:pt idx="200" formatCode="0.0%">
                  <c:v>0.15132930959345667</c:v>
                </c:pt>
                <c:pt idx="201" formatCode="0.0%">
                  <c:v>0.13116366929652781</c:v>
                </c:pt>
                <c:pt idx="202" formatCode="0.0%">
                  <c:v>0.12455362827282296</c:v>
                </c:pt>
                <c:pt idx="203" formatCode="0.0%">
                  <c:v>0.14152680539829285</c:v>
                </c:pt>
                <c:pt idx="204" formatCode="0.0%">
                  <c:v>0.13945093878889714</c:v>
                </c:pt>
                <c:pt idx="205" formatCode="0.0%">
                  <c:v>0.15326901347100474</c:v>
                </c:pt>
                <c:pt idx="206" formatCode="0.0%">
                  <c:v>0.18597508949252115</c:v>
                </c:pt>
                <c:pt idx="207" formatCode="0.0%">
                  <c:v>0.16303794936795565</c:v>
                </c:pt>
                <c:pt idx="208" formatCode="0.0%">
                  <c:v>6.4111546861898294E-2</c:v>
                </c:pt>
                <c:pt idx="209" formatCode="0.0%">
                  <c:v>5.4145541971775561E-2</c:v>
                </c:pt>
                <c:pt idx="210" formatCode="0.0%">
                  <c:v>-5.460792071912425E-2</c:v>
                </c:pt>
                <c:pt idx="211" formatCode="0.0%">
                  <c:v>-2.2785589214117857E-2</c:v>
                </c:pt>
                <c:pt idx="212" formatCode="0.0%">
                  <c:v>5.058956029499144E-2</c:v>
                </c:pt>
                <c:pt idx="213" formatCode="0.0%">
                  <c:v>8.3326368467228212E-2</c:v>
                </c:pt>
                <c:pt idx="214" formatCode="0.0%">
                  <c:v>0.11897923367530742</c:v>
                </c:pt>
                <c:pt idx="215" formatCode="0.0%">
                  <c:v>2.4896350732899725E-2</c:v>
                </c:pt>
                <c:pt idx="216" formatCode="0.0%">
                  <c:v>8.7080093183715707E-2</c:v>
                </c:pt>
                <c:pt idx="217" formatCode="0.0%">
                  <c:v>6.781961765301453E-2</c:v>
                </c:pt>
                <c:pt idx="218" formatCode="0.0%">
                  <c:v>1.2841218692453268E-2</c:v>
                </c:pt>
                <c:pt idx="219" formatCode="0.0%">
                  <c:v>2.8736430728353857E-2</c:v>
                </c:pt>
                <c:pt idx="220" formatCode="0.0%">
                  <c:v>0.12701611513503883</c:v>
                </c:pt>
                <c:pt idx="221" formatCode="0.0%">
                  <c:v>0.14445352322147792</c:v>
                </c:pt>
                <c:pt idx="222" formatCode="0.0%">
                  <c:v>0.27095639158424778</c:v>
                </c:pt>
                <c:pt idx="223" formatCode="0.0%">
                  <c:v>0.18636389232807815</c:v>
                </c:pt>
                <c:pt idx="224" formatCode="0.0%">
                  <c:v>6.6776279659230026E-2</c:v>
                </c:pt>
                <c:pt idx="225" formatCode="0.0%">
                  <c:v>-9.6146800332960664E-2</c:v>
                </c:pt>
                <c:pt idx="226" formatCode="0.0%">
                  <c:v>-1.2069583124099479E-2</c:v>
                </c:pt>
                <c:pt idx="227" formatCode="0.0%">
                  <c:v>0.10763491572244319</c:v>
                </c:pt>
              </c:numCache>
            </c:numRef>
          </c:val>
          <c:extLst>
            <c:ext xmlns:c14="http://schemas.microsoft.com/office/drawing/2007/8/2/chart" uri="{6F2FDCE9-48DA-4B69-8628-5D25D57E5C99}">
              <c14:invertSolidFillFmt>
                <c14:spPr xmlns:c14="http://schemas.microsoft.com/office/drawing/2007/8/2/chart">
                  <a:solidFill>
                    <a:srgbClr val="00B050"/>
                  </a:solidFill>
                  <a:ln>
                    <a:noFill/>
                  </a:ln>
                  <a:effectLst/>
                </c14:spPr>
              </c14:invertSolidFillFmt>
            </c:ext>
            <c:ext xmlns:c16="http://schemas.microsoft.com/office/drawing/2014/chart" uri="{C3380CC4-5D6E-409C-BE32-E72D297353CC}">
              <c16:uniqueId val="{00000001-C074-5A4A-8162-5BC3D066E282}"/>
            </c:ext>
          </c:extLst>
        </c:ser>
        <c:dLbls>
          <c:showLegendKey val="0"/>
          <c:showVal val="0"/>
          <c:showCatName val="0"/>
          <c:showSerName val="0"/>
          <c:showPercent val="0"/>
          <c:showBubbleSize val="0"/>
        </c:dLbls>
        <c:gapWidth val="150"/>
        <c:axId val="373372943"/>
        <c:axId val="203300447"/>
      </c:barChart>
      <c:lineChart>
        <c:grouping val="standard"/>
        <c:varyColors val="0"/>
        <c:ser>
          <c:idx val="0"/>
          <c:order val="0"/>
          <c:tx>
            <c:strRef>
              <c:f>'Rolling Return_Tem'!$B$14</c:f>
              <c:strCache>
                <c:ptCount val="1"/>
                <c:pt idx="0">
                  <c:v>VTI Adj Closed</c:v>
                </c:pt>
              </c:strCache>
            </c:strRef>
          </c:tx>
          <c:spPr>
            <a:ln w="28575" cap="rnd">
              <a:solidFill>
                <a:schemeClr val="accent1"/>
              </a:solidFill>
              <a:round/>
            </a:ln>
            <a:effectLst/>
          </c:spPr>
          <c:marker>
            <c:symbol val="none"/>
          </c:marker>
          <c:cat>
            <c:numRef>
              <c:f>'Rolling Return_Tem'!$A$15:$A$242</c:f>
              <c:numCache>
                <c:formatCode>mmm\-yy</c:formatCode>
                <c:ptCount val="22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numCache>
            </c:numRef>
          </c:cat>
          <c:val>
            <c:numRef>
              <c:f>'Rolling Return_Tem'!$B$15:$B$242</c:f>
              <c:numCache>
                <c:formatCode>0.00</c:formatCode>
                <c:ptCount val="228"/>
                <c:pt idx="0">
                  <c:v>39.740375999999998</c:v>
                </c:pt>
                <c:pt idx="1">
                  <c:v>39.078197000000003</c:v>
                </c:pt>
                <c:pt idx="2">
                  <c:v>36.790047000000001</c:v>
                </c:pt>
                <c:pt idx="3">
                  <c:v>33.475945000000003</c:v>
                </c:pt>
                <c:pt idx="4">
                  <c:v>34.285431000000003</c:v>
                </c:pt>
                <c:pt idx="5">
                  <c:v>36.896636999999998</c:v>
                </c:pt>
                <c:pt idx="6">
                  <c:v>37.289383000000001</c:v>
                </c:pt>
                <c:pt idx="7">
                  <c:v>37.101990000000001</c:v>
                </c:pt>
                <c:pt idx="8">
                  <c:v>36.452067999999997</c:v>
                </c:pt>
                <c:pt idx="9">
                  <c:v>37.684429000000002</c:v>
                </c:pt>
                <c:pt idx="10">
                  <c:v>36.106022000000003</c:v>
                </c:pt>
                <c:pt idx="11">
                  <c:v>35.596710000000002</c:v>
                </c:pt>
                <c:pt idx="12">
                  <c:v>33.050266000000001</c:v>
                </c:pt>
                <c:pt idx="13">
                  <c:v>30.378630000000001</c:v>
                </c:pt>
                <c:pt idx="14">
                  <c:v>30.610793999999999</c:v>
                </c:pt>
                <c:pt idx="15">
                  <c:v>27.410774</c:v>
                </c:pt>
                <c:pt idx="16">
                  <c:v>29.578098000000001</c:v>
                </c:pt>
                <c:pt idx="17">
                  <c:v>31.352774</c:v>
                </c:pt>
                <c:pt idx="18">
                  <c:v>29.62471</c:v>
                </c:pt>
                <c:pt idx="19">
                  <c:v>28.938614000000001</c:v>
                </c:pt>
                <c:pt idx="20">
                  <c:v>28.491968</c:v>
                </c:pt>
                <c:pt idx="21">
                  <c:v>28.600038999999999</c:v>
                </c:pt>
                <c:pt idx="22">
                  <c:v>31.179065999999999</c:v>
                </c:pt>
                <c:pt idx="23">
                  <c:v>32.997604000000003</c:v>
                </c:pt>
                <c:pt idx="24">
                  <c:v>33.424232000000003</c:v>
                </c:pt>
                <c:pt idx="25">
                  <c:v>34.310676999999998</c:v>
                </c:pt>
                <c:pt idx="26">
                  <c:v>35.130375000000001</c:v>
                </c:pt>
                <c:pt idx="27">
                  <c:v>34.637093</c:v>
                </c:pt>
                <c:pt idx="28">
                  <c:v>36.864223000000003</c:v>
                </c:pt>
                <c:pt idx="29">
                  <c:v>37.417465</c:v>
                </c:pt>
                <c:pt idx="30">
                  <c:v>38.749637999999997</c:v>
                </c:pt>
                <c:pt idx="31">
                  <c:v>39.929859</c:v>
                </c:pt>
                <c:pt idx="32">
                  <c:v>40.489082000000003</c:v>
                </c:pt>
                <c:pt idx="33">
                  <c:v>39.944465999999998</c:v>
                </c:pt>
                <c:pt idx="34">
                  <c:v>39.183506000000001</c:v>
                </c:pt>
                <c:pt idx="35">
                  <c:v>39.751911</c:v>
                </c:pt>
                <c:pt idx="36">
                  <c:v>40.419322999999999</c:v>
                </c:pt>
                <c:pt idx="37">
                  <c:v>39.116610999999999</c:v>
                </c:pt>
                <c:pt idx="38">
                  <c:v>39.138686999999997</c:v>
                </c:pt>
                <c:pt idx="39">
                  <c:v>39.653877000000001</c:v>
                </c:pt>
                <c:pt idx="40">
                  <c:v>40.513351</c:v>
                </c:pt>
                <c:pt idx="41">
                  <c:v>42.433750000000003</c:v>
                </c:pt>
                <c:pt idx="42">
                  <c:v>43.597092000000004</c:v>
                </c:pt>
                <c:pt idx="43">
                  <c:v>42.790730000000003</c:v>
                </c:pt>
                <c:pt idx="44">
                  <c:v>43.682980000000001</c:v>
                </c:pt>
                <c:pt idx="45">
                  <c:v>42.701518999999998</c:v>
                </c:pt>
                <c:pt idx="46">
                  <c:v>41.921078000000001</c:v>
                </c:pt>
                <c:pt idx="47">
                  <c:v>43.548203000000001</c:v>
                </c:pt>
                <c:pt idx="48">
                  <c:v>43.727345</c:v>
                </c:pt>
                <c:pt idx="49">
                  <c:v>45.799511000000003</c:v>
                </c:pt>
                <c:pt idx="50">
                  <c:v>45.301445000000001</c:v>
                </c:pt>
                <c:pt idx="51">
                  <c:v>45.443752000000003</c:v>
                </c:pt>
                <c:pt idx="52">
                  <c:v>44.587722999999997</c:v>
                </c:pt>
                <c:pt idx="53">
                  <c:v>46.645907999999999</c:v>
                </c:pt>
                <c:pt idx="54">
                  <c:v>46.405106000000004</c:v>
                </c:pt>
                <c:pt idx="55">
                  <c:v>48.155940999999999</c:v>
                </c:pt>
                <c:pt idx="56">
                  <c:v>48.261864000000003</c:v>
                </c:pt>
                <c:pt idx="57">
                  <c:v>49.052470999999997</c:v>
                </c:pt>
                <c:pt idx="58">
                  <c:v>49.722439000000001</c:v>
                </c:pt>
                <c:pt idx="59">
                  <c:v>48.119587000000003</c:v>
                </c:pt>
                <c:pt idx="60">
                  <c:v>47.975245999999999</c:v>
                </c:pt>
                <c:pt idx="61">
                  <c:v>48.126067999999997</c:v>
                </c:pt>
                <c:pt idx="62">
                  <c:v>49.232315</c:v>
                </c:pt>
                <c:pt idx="63">
                  <c:v>50.140217</c:v>
                </c:pt>
                <c:pt idx="64">
                  <c:v>52.122208000000001</c:v>
                </c:pt>
                <c:pt idx="65">
                  <c:v>53.336395000000003</c:v>
                </c:pt>
                <c:pt idx="66">
                  <c:v>53.704121000000001</c:v>
                </c:pt>
                <c:pt idx="67">
                  <c:v>54.982036999999998</c:v>
                </c:pt>
                <c:pt idx="68">
                  <c:v>54.088898</c:v>
                </c:pt>
                <c:pt idx="69">
                  <c:v>54.462344999999999</c:v>
                </c:pt>
                <c:pt idx="70">
                  <c:v>56.895068999999999</c:v>
                </c:pt>
                <c:pt idx="71">
                  <c:v>59.013744000000003</c:v>
                </c:pt>
                <c:pt idx="72">
                  <c:v>57.753376000000003</c:v>
                </c:pt>
                <c:pt idx="73">
                  <c:v>55.924328000000003</c:v>
                </c:pt>
                <c:pt idx="74">
                  <c:v>56.747081999999999</c:v>
                </c:pt>
                <c:pt idx="75">
                  <c:v>58.679805999999999</c:v>
                </c:pt>
                <c:pt idx="76">
                  <c:v>59.986221</c:v>
                </c:pt>
                <c:pt idx="77">
                  <c:v>57.273547999999998</c:v>
                </c:pt>
                <c:pt idx="78">
                  <c:v>56.572001999999998</c:v>
                </c:pt>
                <c:pt idx="79">
                  <c:v>53.368805000000002</c:v>
                </c:pt>
                <c:pt idx="80">
                  <c:v>52.036529999999999</c:v>
                </c:pt>
                <c:pt idx="81">
                  <c:v>51.331234000000002</c:v>
                </c:pt>
                <c:pt idx="82">
                  <c:v>54.090491999999998</c:v>
                </c:pt>
                <c:pt idx="83">
                  <c:v>55.180957999999997</c:v>
                </c:pt>
                <c:pt idx="84">
                  <c:v>50.460830999999999</c:v>
                </c:pt>
                <c:pt idx="85">
                  <c:v>50.383408000000003</c:v>
                </c:pt>
                <c:pt idx="86">
                  <c:v>51.119098999999999</c:v>
                </c:pt>
                <c:pt idx="87">
                  <c:v>46.166992</c:v>
                </c:pt>
                <c:pt idx="88">
                  <c:v>38.286330999999997</c:v>
                </c:pt>
                <c:pt idx="89">
                  <c:v>35.217686</c:v>
                </c:pt>
                <c:pt idx="90">
                  <c:v>35.567497000000003</c:v>
                </c:pt>
                <c:pt idx="91">
                  <c:v>32.955849000000001</c:v>
                </c:pt>
                <c:pt idx="92">
                  <c:v>29.487231999999999</c:v>
                </c:pt>
                <c:pt idx="93">
                  <c:v>31.706181999999998</c:v>
                </c:pt>
                <c:pt idx="94">
                  <c:v>35.435318000000002</c:v>
                </c:pt>
                <c:pt idx="95">
                  <c:v>37.371234999999999</c:v>
                </c:pt>
                <c:pt idx="96">
                  <c:v>37.322837999999997</c:v>
                </c:pt>
                <c:pt idx="97">
                  <c:v>40.410614000000002</c:v>
                </c:pt>
                <c:pt idx="98">
                  <c:v>41.910308999999998</c:v>
                </c:pt>
                <c:pt idx="99">
                  <c:v>43.442416999999999</c:v>
                </c:pt>
                <c:pt idx="100">
                  <c:v>42.494391999999998</c:v>
                </c:pt>
                <c:pt idx="101">
                  <c:v>44.913105000000002</c:v>
                </c:pt>
                <c:pt idx="102">
                  <c:v>45.906661999999997</c:v>
                </c:pt>
                <c:pt idx="103">
                  <c:v>44.551689000000003</c:v>
                </c:pt>
                <c:pt idx="104">
                  <c:v>46.084277999999998</c:v>
                </c:pt>
                <c:pt idx="105">
                  <c:v>48.83802</c:v>
                </c:pt>
                <c:pt idx="106">
                  <c:v>50.101379000000001</c:v>
                </c:pt>
                <c:pt idx="107">
                  <c:v>46.151854999999998</c:v>
                </c:pt>
                <c:pt idx="108">
                  <c:v>43.247314000000003</c:v>
                </c:pt>
                <c:pt idx="109">
                  <c:v>46.507229000000002</c:v>
                </c:pt>
                <c:pt idx="110">
                  <c:v>44.316226999999998</c:v>
                </c:pt>
                <c:pt idx="111">
                  <c:v>48.260033</c:v>
                </c:pt>
                <c:pt idx="112">
                  <c:v>50.463206999999997</c:v>
                </c:pt>
                <c:pt idx="113">
                  <c:v>50.720844</c:v>
                </c:pt>
                <c:pt idx="114">
                  <c:v>53.962051000000002</c:v>
                </c:pt>
                <c:pt idx="115">
                  <c:v>55.36195</c:v>
                </c:pt>
                <c:pt idx="116">
                  <c:v>57.409004000000003</c:v>
                </c:pt>
                <c:pt idx="117">
                  <c:v>57.409004000000003</c:v>
                </c:pt>
                <c:pt idx="118">
                  <c:v>59.318931999999997</c:v>
                </c:pt>
                <c:pt idx="119">
                  <c:v>58.689644000000001</c:v>
                </c:pt>
                <c:pt idx="120">
                  <c:v>57.389159999999997</c:v>
                </c:pt>
                <c:pt idx="121">
                  <c:v>56.327469000000001</c:v>
                </c:pt>
                <c:pt idx="122">
                  <c:v>52.898102000000002</c:v>
                </c:pt>
                <c:pt idx="123">
                  <c:v>48.634571000000001</c:v>
                </c:pt>
                <c:pt idx="124">
                  <c:v>54.449406000000003</c:v>
                </c:pt>
                <c:pt idx="125">
                  <c:v>54.246116999999998</c:v>
                </c:pt>
                <c:pt idx="126">
                  <c:v>54.466351000000003</c:v>
                </c:pt>
                <c:pt idx="127">
                  <c:v>57.553288000000002</c:v>
                </c:pt>
                <c:pt idx="128">
                  <c:v>59.981144</c:v>
                </c:pt>
                <c:pt idx="129">
                  <c:v>61.557129000000003</c:v>
                </c:pt>
                <c:pt idx="130">
                  <c:v>61.427638999999999</c:v>
                </c:pt>
                <c:pt idx="131">
                  <c:v>57.603400999999998</c:v>
                </c:pt>
                <c:pt idx="132">
                  <c:v>59.631027000000003</c:v>
                </c:pt>
                <c:pt idx="133">
                  <c:v>60.458035000000002</c:v>
                </c:pt>
                <c:pt idx="134">
                  <c:v>62.091819999999998</c:v>
                </c:pt>
                <c:pt idx="135">
                  <c:v>63.330055000000002</c:v>
                </c:pt>
                <c:pt idx="136">
                  <c:v>62.489539999999998</c:v>
                </c:pt>
                <c:pt idx="137">
                  <c:v>62.973407999999999</c:v>
                </c:pt>
                <c:pt idx="138">
                  <c:v>63.319042000000003</c:v>
                </c:pt>
                <c:pt idx="139">
                  <c:v>67.243285999999998</c:v>
                </c:pt>
                <c:pt idx="140">
                  <c:v>68.105063999999999</c:v>
                </c:pt>
                <c:pt idx="141">
                  <c:v>70.472717000000003</c:v>
                </c:pt>
                <c:pt idx="142">
                  <c:v>71.930938999999995</c:v>
                </c:pt>
                <c:pt idx="143">
                  <c:v>73.688582999999994</c:v>
                </c:pt>
                <c:pt idx="144">
                  <c:v>72.289482000000007</c:v>
                </c:pt>
                <c:pt idx="145">
                  <c:v>76.802970999999999</c:v>
                </c:pt>
                <c:pt idx="146">
                  <c:v>74.474830999999995</c:v>
                </c:pt>
                <c:pt idx="147">
                  <c:v>77.005043000000001</c:v>
                </c:pt>
                <c:pt idx="148">
                  <c:v>80.678855999999996</c:v>
                </c:pt>
                <c:pt idx="149">
                  <c:v>82.859359999999995</c:v>
                </c:pt>
                <c:pt idx="150">
                  <c:v>84.677932999999996</c:v>
                </c:pt>
                <c:pt idx="151">
                  <c:v>82.426475999999994</c:v>
                </c:pt>
                <c:pt idx="152">
                  <c:v>86.437759</c:v>
                </c:pt>
                <c:pt idx="153">
                  <c:v>86.499877999999995</c:v>
                </c:pt>
                <c:pt idx="154">
                  <c:v>86.931533999999999</c:v>
                </c:pt>
                <c:pt idx="155">
                  <c:v>88.758751000000004</c:v>
                </c:pt>
                <c:pt idx="156">
                  <c:v>90.710762000000003</c:v>
                </c:pt>
                <c:pt idx="157">
                  <c:v>89.268433000000002</c:v>
                </c:pt>
                <c:pt idx="158">
                  <c:v>92.973770000000002</c:v>
                </c:pt>
                <c:pt idx="159">
                  <c:v>90.610946999999996</c:v>
                </c:pt>
                <c:pt idx="160">
                  <c:v>93.523933</c:v>
                </c:pt>
                <c:pt idx="161">
                  <c:v>95.843597000000003</c:v>
                </c:pt>
                <c:pt idx="162">
                  <c:v>95.304160999999993</c:v>
                </c:pt>
                <c:pt idx="163">
                  <c:v>93.185760000000002</c:v>
                </c:pt>
                <c:pt idx="164">
                  <c:v>98.536475999999993</c:v>
                </c:pt>
                <c:pt idx="165">
                  <c:v>96.936676000000006</c:v>
                </c:pt>
                <c:pt idx="166">
                  <c:v>97.989959999999996</c:v>
                </c:pt>
                <c:pt idx="167">
                  <c:v>99.261261000000005</c:v>
                </c:pt>
                <c:pt idx="168">
                  <c:v>97.18177</c:v>
                </c:pt>
                <c:pt idx="169">
                  <c:v>99.258544999999998</c:v>
                </c:pt>
                <c:pt idx="170">
                  <c:v>93.212181000000001</c:v>
                </c:pt>
                <c:pt idx="171">
                  <c:v>90.029396000000006</c:v>
                </c:pt>
                <c:pt idx="172">
                  <c:v>97.646332000000001</c:v>
                </c:pt>
                <c:pt idx="173">
                  <c:v>98.232971000000006</c:v>
                </c:pt>
                <c:pt idx="174">
                  <c:v>95.602310000000003</c:v>
                </c:pt>
                <c:pt idx="175">
                  <c:v>90.643715</c:v>
                </c:pt>
                <c:pt idx="176">
                  <c:v>90.634490999999997</c:v>
                </c:pt>
                <c:pt idx="177">
                  <c:v>96.626396</c:v>
                </c:pt>
                <c:pt idx="178">
                  <c:v>97.717528999999999</c:v>
                </c:pt>
                <c:pt idx="179">
                  <c:v>99.412375999999995</c:v>
                </c:pt>
                <c:pt idx="180">
                  <c:v>99.245673999999994</c:v>
                </c:pt>
                <c:pt idx="181">
                  <c:v>103.647041</c:v>
                </c:pt>
                <c:pt idx="182">
                  <c:v>103.860985</c:v>
                </c:pt>
                <c:pt idx="183">
                  <c:v>103.563293</c:v>
                </c:pt>
                <c:pt idx="184">
                  <c:v>101.786942</c:v>
                </c:pt>
                <c:pt idx="185">
                  <c:v>106.357956</c:v>
                </c:pt>
                <c:pt idx="186">
                  <c:v>107.79748499999999</c:v>
                </c:pt>
                <c:pt idx="187">
                  <c:v>110.483833</c:v>
                </c:pt>
                <c:pt idx="188">
                  <c:v>114.566078</c:v>
                </c:pt>
                <c:pt idx="189">
                  <c:v>114.114586</c:v>
                </c:pt>
                <c:pt idx="190">
                  <c:v>115.848213</c:v>
                </c:pt>
                <c:pt idx="191">
                  <c:v>117.019829</c:v>
                </c:pt>
                <c:pt idx="192">
                  <c:v>117.58673899999999</c:v>
                </c:pt>
                <c:pt idx="193">
                  <c:v>120.349495</c:v>
                </c:pt>
                <c:pt idx="194">
                  <c:v>120.52984600000001</c:v>
                </c:pt>
                <c:pt idx="195">
                  <c:v>122.940834</c:v>
                </c:pt>
                <c:pt idx="196">
                  <c:v>126.14962</c:v>
                </c:pt>
                <c:pt idx="197">
                  <c:v>129.97232099999999</c:v>
                </c:pt>
                <c:pt idx="198">
                  <c:v>130.839844</c:v>
                </c:pt>
                <c:pt idx="199">
                  <c:v>138.35957300000001</c:v>
                </c:pt>
                <c:pt idx="200">
                  <c:v>133.157791</c:v>
                </c:pt>
                <c:pt idx="201">
                  <c:v>130.01568599999999</c:v>
                </c:pt>
                <c:pt idx="202">
                  <c:v>131.13043200000001</c:v>
                </c:pt>
                <c:pt idx="203">
                  <c:v>134.69892899999999</c:v>
                </c:pt>
                <c:pt idx="204">
                  <c:v>135.074051</c:v>
                </c:pt>
                <c:pt idx="205">
                  <c:v>140.147919</c:v>
                </c:pt>
                <c:pt idx="206">
                  <c:v>144.95829800000001</c:v>
                </c:pt>
                <c:pt idx="207">
                  <c:v>144.55261200000001</c:v>
                </c:pt>
                <c:pt idx="208">
                  <c:v>134.47920199999999</c:v>
                </c:pt>
                <c:pt idx="209">
                  <c:v>137.18704199999999</c:v>
                </c:pt>
                <c:pt idx="210">
                  <c:v>123.871094</c:v>
                </c:pt>
                <c:pt idx="211">
                  <c:v>135.23968500000001</c:v>
                </c:pt>
                <c:pt idx="212">
                  <c:v>140.05259699999999</c:v>
                </c:pt>
                <c:pt idx="213">
                  <c:v>141.27290300000001</c:v>
                </c:pt>
                <c:pt idx="214">
                  <c:v>147.611786</c:v>
                </c:pt>
                <c:pt idx="215">
                  <c:v>138.09097299999999</c:v>
                </c:pt>
                <c:pt idx="216">
                  <c:v>147.317307</c:v>
                </c:pt>
                <c:pt idx="217">
                  <c:v>149.95378099999999</c:v>
                </c:pt>
                <c:pt idx="218">
                  <c:v>146.83073400000001</c:v>
                </c:pt>
                <c:pt idx="219">
                  <c:v>148.76168799999999</c:v>
                </c:pt>
                <c:pt idx="220">
                  <c:v>152.59054599999999</c:v>
                </c:pt>
                <c:pt idx="221">
                  <c:v>158.37034600000001</c:v>
                </c:pt>
                <c:pt idx="222">
                  <c:v>161.93322800000001</c:v>
                </c:pt>
                <c:pt idx="223">
                  <c:v>162.71174600000001</c:v>
                </c:pt>
                <c:pt idx="224">
                  <c:v>149.69639599999999</c:v>
                </c:pt>
                <c:pt idx="225">
                  <c:v>128.27282700000001</c:v>
                </c:pt>
                <c:pt idx="226">
                  <c:v>145.83999600000001</c:v>
                </c:pt>
                <c:pt idx="227">
                  <c:v>153.71000699999999</c:v>
                </c:pt>
              </c:numCache>
            </c:numRef>
          </c:val>
          <c:smooth val="0"/>
          <c:extLst>
            <c:ext xmlns:c16="http://schemas.microsoft.com/office/drawing/2014/chart" uri="{C3380CC4-5D6E-409C-BE32-E72D297353CC}">
              <c16:uniqueId val="{00000000-C074-5A4A-8162-5BC3D066E282}"/>
            </c:ext>
          </c:extLst>
        </c:ser>
        <c:dLbls>
          <c:showLegendKey val="0"/>
          <c:showVal val="0"/>
          <c:showCatName val="0"/>
          <c:showSerName val="0"/>
          <c:showPercent val="0"/>
          <c:showBubbleSize val="0"/>
        </c:dLbls>
        <c:marker val="1"/>
        <c:smooth val="0"/>
        <c:axId val="374243359"/>
        <c:axId val="373809231"/>
      </c:lineChart>
      <c:dateAx>
        <c:axId val="3742433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809231"/>
        <c:crosses val="autoZero"/>
        <c:auto val="1"/>
        <c:lblOffset val="100"/>
        <c:baseTimeUnit val="months"/>
      </c:dateAx>
      <c:valAx>
        <c:axId val="3738092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Adjusted Close Price/Net</a:t>
                </a:r>
                <a:r>
                  <a:rPr lang="en-GB" baseline="0"/>
                  <a:t> Value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243359"/>
        <c:crosses val="autoZero"/>
        <c:crossBetween val="between"/>
      </c:valAx>
      <c:valAx>
        <c:axId val="20330044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372943"/>
        <c:crosses val="max"/>
        <c:crossBetween val="between"/>
      </c:valAx>
      <c:dateAx>
        <c:axId val="373372943"/>
        <c:scaling>
          <c:orientation val="minMax"/>
        </c:scaling>
        <c:delete val="1"/>
        <c:axPos val="b"/>
        <c:numFmt formatCode="mmm\-yy" sourceLinked="1"/>
        <c:majorTickMark val="out"/>
        <c:minorTickMark val="none"/>
        <c:tickLblPos val="nextTo"/>
        <c:crossAx val="203300447"/>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a:t>
            </a:r>
            <a:r>
              <a:rPr lang="en-US" baseline="0"/>
              <a:t> 's Past Efficient Frontier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'Efficient Frontier'!$K$46</c:f>
              <c:strCache>
                <c:ptCount val="1"/>
                <c:pt idx="0">
                  <c:v>Port_Mean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6"/>
            <c:marker>
              <c:symbol val="circle"/>
              <c:size val="5"/>
              <c:spPr>
                <a:solidFill>
                  <a:srgbClr val="FF0000"/>
                </a:solidFill>
                <a:ln w="76200">
                  <a:solidFill>
                    <a:srgbClr val="FF0000"/>
                  </a:solidFill>
                </a:ln>
                <a:effectLst/>
              </c:spPr>
            </c:marker>
            <c:bubble3D val="0"/>
            <c:spPr>
              <a:ln w="19050" cap="rnd">
                <a:solidFill>
                  <a:schemeClr val="accent1"/>
                </a:solidFill>
                <a:round/>
              </a:ln>
              <a:effectLst/>
            </c:spPr>
            <c:extLst>
              <c:ext xmlns:c16="http://schemas.microsoft.com/office/drawing/2014/chart" uri="{C3380CC4-5D6E-409C-BE32-E72D297353CC}">
                <c16:uniqueId val="{00000002-58CB-474F-8417-206522D32BF4}"/>
              </c:ext>
            </c:extLst>
          </c:dPt>
          <c:dPt>
            <c:idx val="8"/>
            <c:marker>
              <c:symbol val="circle"/>
              <c:size val="5"/>
              <c:spPr>
                <a:noFill/>
                <a:ln w="9525">
                  <a:solidFill>
                    <a:schemeClr val="accent1"/>
                  </a:solidFill>
                </a:ln>
                <a:effectLst/>
              </c:spPr>
            </c:marker>
            <c:bubble3D val="0"/>
            <c:extLst>
              <c:ext xmlns:c16="http://schemas.microsoft.com/office/drawing/2014/chart" uri="{C3380CC4-5D6E-409C-BE32-E72D297353CC}">
                <c16:uniqueId val="{00000004-58CB-474F-8417-206522D32BF4}"/>
              </c:ext>
            </c:extLst>
          </c:dPt>
          <c:xVal>
            <c:numRef>
              <c:f>'Efficient Frontier'!$L$45:$Z$45</c:f>
              <c:numCache>
                <c:formatCode>0.000%</c:formatCode>
                <c:ptCount val="15"/>
                <c:pt idx="0">
                  <c:v>1.6608201527229433E-2</c:v>
                </c:pt>
                <c:pt idx="1">
                  <c:v>1.4375347731584094E-2</c:v>
                </c:pt>
                <c:pt idx="2">
                  <c:v>1.2315065655463463E-2</c:v>
                </c:pt>
                <c:pt idx="3">
                  <c:v>1.0529151791812377E-2</c:v>
                </c:pt>
                <c:pt idx="4">
                  <c:v>9.1791725360791474E-3</c:v>
                </c:pt>
                <c:pt idx="5">
                  <c:v>8.4760459634020801E-3</c:v>
                </c:pt>
                <c:pt idx="6">
                  <c:v>8.5730057652843705E-3</c:v>
                </c:pt>
                <c:pt idx="7">
                  <c:v>9.4652826709457349E-3</c:v>
                </c:pt>
                <c:pt idx="8">
                  <c:v>1.0943201126005508E-2</c:v>
                </c:pt>
                <c:pt idx="9">
                  <c:v>1.2810452884627541E-2</c:v>
                </c:pt>
                <c:pt idx="10">
                  <c:v>1.4921585981999939E-2</c:v>
                </c:pt>
                <c:pt idx="11">
                  <c:v>1.7186964015039084E-2</c:v>
                </c:pt>
                <c:pt idx="12">
                  <c:v>1.9553048625242028E-2</c:v>
                </c:pt>
                <c:pt idx="13">
                  <c:v>2.1987352279524013E-2</c:v>
                </c:pt>
                <c:pt idx="14">
                  <c:v>2.446952372870731E-2</c:v>
                </c:pt>
              </c:numCache>
            </c:numRef>
          </c:xVal>
          <c:yVal>
            <c:numRef>
              <c:f>'Efficient Frontier'!$L$46:$Z$46</c:f>
              <c:numCache>
                <c:formatCode>0.00%</c:formatCode>
                <c:ptCount val="15"/>
                <c:pt idx="0">
                  <c:v>8.3246515331117973E-4</c:v>
                </c:pt>
                <c:pt idx="1">
                  <c:v>1.3607741182406097E-3</c:v>
                </c:pt>
                <c:pt idx="2">
                  <c:v>1.8890828793246509E-3</c:v>
                </c:pt>
                <c:pt idx="3">
                  <c:v>2.4173918427510392E-3</c:v>
                </c:pt>
                <c:pt idx="4">
                  <c:v>2.945701007311174E-3</c:v>
                </c:pt>
                <c:pt idx="5">
                  <c:v>3.4740098393760436E-3</c:v>
                </c:pt>
                <c:pt idx="6">
                  <c:v>3.9962830169673154E-3</c:v>
                </c:pt>
                <c:pt idx="7">
                  <c:v>4.5306279177086796E-3</c:v>
                </c:pt>
                <c:pt idx="8">
                  <c:v>5.0589369143851258E-3</c:v>
                </c:pt>
                <c:pt idx="9">
                  <c:v>5.5872456480992238E-3</c:v>
                </c:pt>
                <c:pt idx="10">
                  <c:v>6.1155546311499514E-3</c:v>
                </c:pt>
                <c:pt idx="11">
                  <c:v>6.6438635217211158E-3</c:v>
                </c:pt>
                <c:pt idx="12">
                  <c:v>7.1721726526999315E-3</c:v>
                </c:pt>
                <c:pt idx="13">
                  <c:v>7.7004820022288367E-3</c:v>
                </c:pt>
                <c:pt idx="14">
                  <c:v>8.2287906324297819E-3</c:v>
                </c:pt>
              </c:numCache>
            </c:numRef>
          </c:yVal>
          <c:smooth val="1"/>
          <c:extLst>
            <c:ext xmlns:c16="http://schemas.microsoft.com/office/drawing/2014/chart" uri="{C3380CC4-5D6E-409C-BE32-E72D297353CC}">
              <c16:uniqueId val="{00000000-58CB-474F-8417-206522D32BF4}"/>
            </c:ext>
          </c:extLst>
        </c:ser>
        <c:dLbls>
          <c:showLegendKey val="0"/>
          <c:showVal val="0"/>
          <c:showCatName val="0"/>
          <c:showSerName val="0"/>
          <c:showPercent val="0"/>
          <c:showBubbleSize val="0"/>
        </c:dLbls>
        <c:axId val="882764399"/>
        <c:axId val="882766031"/>
      </c:scatterChart>
      <c:valAx>
        <c:axId val="882764399"/>
        <c:scaling>
          <c:orientation val="minMax"/>
          <c:max val="2.5000000000000005E-2"/>
          <c:min val="5.000000000000001E-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r>
                  <a:rPr lang="en-GB" baseline="0"/>
                  <a:t> Std</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66031"/>
        <c:crosses val="autoZero"/>
        <c:crossBetween val="midCat"/>
      </c:valAx>
      <c:valAx>
        <c:axId val="8827660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 Mean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643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BWX!$M$12</c:f>
              <c:strCache>
                <c:ptCount val="1"/>
                <c:pt idx="0">
                  <c:v>Frequency</c:v>
                </c:pt>
              </c:strCache>
            </c:strRef>
          </c:tx>
          <c:spPr>
            <a:solidFill>
              <a:schemeClr val="accent1"/>
            </a:solidFill>
            <a:ln>
              <a:noFill/>
            </a:ln>
            <a:effectLst/>
          </c:spPr>
          <c:invertIfNegative val="0"/>
          <c:cat>
            <c:strRef>
              <c:f>BWX!$L$13:$L$22</c:f>
              <c:strCache>
                <c:ptCount val="10"/>
                <c:pt idx="0">
                  <c:v>&lt;-8%</c:v>
                </c:pt>
                <c:pt idx="1">
                  <c:v>-8% to -6%</c:v>
                </c:pt>
                <c:pt idx="2">
                  <c:v>-6% to -4%</c:v>
                </c:pt>
                <c:pt idx="3">
                  <c:v>-4% to -2%</c:v>
                </c:pt>
                <c:pt idx="4">
                  <c:v>-2% to 0</c:v>
                </c:pt>
                <c:pt idx="5">
                  <c:v>0 to 2%</c:v>
                </c:pt>
                <c:pt idx="6">
                  <c:v>2% to 4%</c:v>
                </c:pt>
                <c:pt idx="7">
                  <c:v>4% to 6%</c:v>
                </c:pt>
                <c:pt idx="8">
                  <c:v>6% to 8%</c:v>
                </c:pt>
                <c:pt idx="9">
                  <c:v>&gt;8%</c:v>
                </c:pt>
              </c:strCache>
            </c:strRef>
          </c:cat>
          <c:val>
            <c:numRef>
              <c:f>BWX!$M$13:$M$22</c:f>
              <c:numCache>
                <c:formatCode>General</c:formatCode>
                <c:ptCount val="10"/>
                <c:pt idx="0">
                  <c:v>1</c:v>
                </c:pt>
                <c:pt idx="1">
                  <c:v>2</c:v>
                </c:pt>
                <c:pt idx="2">
                  <c:v>8</c:v>
                </c:pt>
                <c:pt idx="3">
                  <c:v>13</c:v>
                </c:pt>
                <c:pt idx="4">
                  <c:v>43</c:v>
                </c:pt>
                <c:pt idx="5">
                  <c:v>55</c:v>
                </c:pt>
                <c:pt idx="6">
                  <c:v>24</c:v>
                </c:pt>
                <c:pt idx="7">
                  <c:v>4</c:v>
                </c:pt>
                <c:pt idx="8">
                  <c:v>1</c:v>
                </c:pt>
                <c:pt idx="9">
                  <c:v>2</c:v>
                </c:pt>
              </c:numCache>
            </c:numRef>
          </c:val>
          <c:extLst>
            <c:ext xmlns:c16="http://schemas.microsoft.com/office/drawing/2014/chart" uri="{C3380CC4-5D6E-409C-BE32-E72D297353CC}">
              <c16:uniqueId val="{00000000-54CA-224E-9327-74BECEF88434}"/>
            </c:ext>
          </c:extLst>
        </c:ser>
        <c:dLbls>
          <c:showLegendKey val="0"/>
          <c:showVal val="0"/>
          <c:showCatName val="0"/>
          <c:showSerName val="0"/>
          <c:showPercent val="0"/>
          <c:showBubbleSize val="0"/>
        </c:dLbls>
        <c:gapWidth val="219"/>
        <c:overlap val="-27"/>
        <c:axId val="1229423967"/>
        <c:axId val="1604737087"/>
      </c:barChart>
      <c:catAx>
        <c:axId val="1229423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737087"/>
        <c:crosses val="autoZero"/>
        <c:auto val="1"/>
        <c:lblAlgn val="ctr"/>
        <c:lblOffset val="100"/>
        <c:noMultiLvlLbl val="0"/>
      </c:catAx>
      <c:valAx>
        <c:axId val="160473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423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WIP!$M$12</c:f>
              <c:strCache>
                <c:ptCount val="1"/>
                <c:pt idx="0">
                  <c:v>Frequency</c:v>
                </c:pt>
              </c:strCache>
            </c:strRef>
          </c:tx>
          <c:spPr>
            <a:solidFill>
              <a:schemeClr val="accent1"/>
            </a:solidFill>
            <a:ln>
              <a:noFill/>
            </a:ln>
            <a:effectLst/>
          </c:spPr>
          <c:invertIfNegative val="0"/>
          <c:cat>
            <c:strRef>
              <c:f>WIP!$L$13:$L$22</c:f>
              <c:strCache>
                <c:ptCount val="10"/>
                <c:pt idx="0">
                  <c:v>&lt;-8%</c:v>
                </c:pt>
                <c:pt idx="1">
                  <c:v>-8% to -6%</c:v>
                </c:pt>
                <c:pt idx="2">
                  <c:v>-6% to -4%</c:v>
                </c:pt>
                <c:pt idx="3">
                  <c:v>-4% to -2%</c:v>
                </c:pt>
                <c:pt idx="4">
                  <c:v>-2% to 0</c:v>
                </c:pt>
                <c:pt idx="5">
                  <c:v>0 to 2%</c:v>
                </c:pt>
                <c:pt idx="6">
                  <c:v>2% to 4%</c:v>
                </c:pt>
                <c:pt idx="7">
                  <c:v>4% to 6%</c:v>
                </c:pt>
                <c:pt idx="8">
                  <c:v>6% to 8%</c:v>
                </c:pt>
                <c:pt idx="9">
                  <c:v>&gt;8%</c:v>
                </c:pt>
              </c:strCache>
            </c:strRef>
          </c:cat>
          <c:val>
            <c:numRef>
              <c:f>WIP!$M$13:$M$22</c:f>
              <c:numCache>
                <c:formatCode>General</c:formatCode>
                <c:ptCount val="10"/>
                <c:pt idx="0">
                  <c:v>3</c:v>
                </c:pt>
                <c:pt idx="1">
                  <c:v>2</c:v>
                </c:pt>
                <c:pt idx="2">
                  <c:v>8</c:v>
                </c:pt>
                <c:pt idx="3">
                  <c:v>18</c:v>
                </c:pt>
                <c:pt idx="4">
                  <c:v>31</c:v>
                </c:pt>
                <c:pt idx="5">
                  <c:v>48</c:v>
                </c:pt>
                <c:pt idx="6">
                  <c:v>27</c:v>
                </c:pt>
                <c:pt idx="7">
                  <c:v>6</c:v>
                </c:pt>
                <c:pt idx="8">
                  <c:v>4</c:v>
                </c:pt>
                <c:pt idx="9">
                  <c:v>1</c:v>
                </c:pt>
              </c:numCache>
            </c:numRef>
          </c:val>
          <c:extLst>
            <c:ext xmlns:c16="http://schemas.microsoft.com/office/drawing/2014/chart" uri="{C3380CC4-5D6E-409C-BE32-E72D297353CC}">
              <c16:uniqueId val="{00000000-7236-024C-A800-8224DADBCF8D}"/>
            </c:ext>
          </c:extLst>
        </c:ser>
        <c:dLbls>
          <c:showLegendKey val="0"/>
          <c:showVal val="0"/>
          <c:showCatName val="0"/>
          <c:showSerName val="0"/>
          <c:showPercent val="0"/>
          <c:showBubbleSize val="0"/>
        </c:dLbls>
        <c:gapWidth val="219"/>
        <c:overlap val="-27"/>
        <c:axId val="1229423967"/>
        <c:axId val="1604737087"/>
      </c:barChart>
      <c:catAx>
        <c:axId val="1229423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737087"/>
        <c:crosses val="autoZero"/>
        <c:auto val="1"/>
        <c:lblAlgn val="ctr"/>
        <c:lblOffset val="100"/>
        <c:noMultiLvlLbl val="0"/>
      </c:catAx>
      <c:valAx>
        <c:axId val="160473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423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6350</xdr:colOff>
      <xdr:row>12</xdr:row>
      <xdr:rowOff>196850</xdr:rowOff>
    </xdr:from>
    <xdr:to>
      <xdr:col>17</xdr:col>
      <xdr:colOff>812800</xdr:colOff>
      <xdr:row>37</xdr:row>
      <xdr:rowOff>12700</xdr:rowOff>
    </xdr:to>
    <xdr:graphicFrame macro="">
      <xdr:nvGraphicFramePr>
        <xdr:cNvPr id="2" name="Chart 1">
          <a:extLst>
            <a:ext uri="{FF2B5EF4-FFF2-40B4-BE49-F238E27FC236}">
              <a16:creationId xmlns:a16="http://schemas.microsoft.com/office/drawing/2014/main" id="{BE8001A7-6B57-034C-8DED-2939588AC3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806450</xdr:colOff>
      <xdr:row>47</xdr:row>
      <xdr:rowOff>6350</xdr:rowOff>
    </xdr:from>
    <xdr:to>
      <xdr:col>17</xdr:col>
      <xdr:colOff>812800</xdr:colOff>
      <xdr:row>69</xdr:row>
      <xdr:rowOff>25400</xdr:rowOff>
    </xdr:to>
    <xdr:graphicFrame macro="">
      <xdr:nvGraphicFramePr>
        <xdr:cNvPr id="2" name="Chart 1">
          <a:extLst>
            <a:ext uri="{FF2B5EF4-FFF2-40B4-BE49-F238E27FC236}">
              <a16:creationId xmlns:a16="http://schemas.microsoft.com/office/drawing/2014/main" id="{46451793-1D48-FC4F-9280-F6E1E9A724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6350</xdr:colOff>
      <xdr:row>11</xdr:row>
      <xdr:rowOff>184150</xdr:rowOff>
    </xdr:from>
    <xdr:to>
      <xdr:col>20</xdr:col>
      <xdr:colOff>25400</xdr:colOff>
      <xdr:row>26</xdr:row>
      <xdr:rowOff>12700</xdr:rowOff>
    </xdr:to>
    <xdr:graphicFrame macro="">
      <xdr:nvGraphicFramePr>
        <xdr:cNvPr id="2" name="Chart 1">
          <a:extLst>
            <a:ext uri="{FF2B5EF4-FFF2-40B4-BE49-F238E27FC236}">
              <a16:creationId xmlns:a16="http://schemas.microsoft.com/office/drawing/2014/main" id="{DD91B755-82BD-3C43-8CC2-05A1C4EDC9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6350</xdr:colOff>
      <xdr:row>11</xdr:row>
      <xdr:rowOff>184150</xdr:rowOff>
    </xdr:from>
    <xdr:to>
      <xdr:col>20</xdr:col>
      <xdr:colOff>25400</xdr:colOff>
      <xdr:row>26</xdr:row>
      <xdr:rowOff>12700</xdr:rowOff>
    </xdr:to>
    <xdr:graphicFrame macro="">
      <xdr:nvGraphicFramePr>
        <xdr:cNvPr id="2" name="Chart 1">
          <a:extLst>
            <a:ext uri="{FF2B5EF4-FFF2-40B4-BE49-F238E27FC236}">
              <a16:creationId xmlns:a16="http://schemas.microsoft.com/office/drawing/2014/main" id="{84AA3140-79A0-C24B-B604-FD429A9465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1692F0-9F32-D146-ADDD-E8DB76617B58}" name="Table1" displayName="Table1" ref="A14:E242" totalsRowShown="0">
  <autoFilter ref="A14:E242" xr:uid="{7C43FDFC-41F9-7042-A646-D4A2A411E9C5}"/>
  <tableColumns count="5">
    <tableColumn id="1" xr3:uid="{DEE6B4A1-0301-A945-A74A-A3D2CC70B67D}" name="Date " dataDxfId="155"/>
    <tableColumn id="2" xr3:uid="{ABCFDAD1-3B6B-EC42-86C1-FBF387A9CC13}" name="VTI Adj Closed" dataDxfId="154"/>
    <tableColumn id="3" xr3:uid="{9362646B-5A36-A240-A6C3-46AA8B71ACBD}" name="Months"/>
    <tableColumn id="4" xr3:uid="{7D568A69-9870-7C4A-AFE5-44114AE01BAA}" name="Entry " dataDxfId="153">
      <calculatedColumnFormula array="1">IF(Table1[[#This Row],[Months]]&lt;Holding_Period,"",INDEX(Table1[VTI Adj Closed],Table1[[#This Row],[Months]]-Holding_Period+1))</calculatedColumnFormula>
    </tableColumn>
    <tableColumn id="5" xr3:uid="{0796D16A-A20A-5448-84D9-97E4D1C7B795}" name="Rolling Return (annualized)" dataDxfId="152">
      <calculatedColumnFormula>IF(Table1[[#This Row],[Months]]&lt;Holding_Period,"",RATE(Holding_Period,0,-Table1[[#This Row],[Entry ]],Table1[[#This Row],[VTI Adj Closed]])*12)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financetrain.com/calculate-annualized-standard-deviation/"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hyperlink" Target="https://www.investing.com/indices/crsp-us-total-market-historical-data"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investing.com/indices/crsp-us-total-market-historical-data"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ww.investing.com/indices/crsp-us-total-market-historical-data"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EA851-13C2-E442-AE06-522FEDD63AF3}">
  <dimension ref="A1:Z95"/>
  <sheetViews>
    <sheetView zoomScaleNormal="100" workbookViewId="0">
      <selection activeCell="A5" sqref="A5"/>
    </sheetView>
  </sheetViews>
  <sheetFormatPr baseColWidth="10" defaultRowHeight="16"/>
  <cols>
    <col min="1" max="4" width="13.5" customWidth="1"/>
    <col min="5" max="5" width="14.6640625" customWidth="1"/>
    <col min="6" max="6" width="16.5" customWidth="1"/>
    <col min="7" max="7" width="20.83203125" customWidth="1"/>
    <col min="8" max="8" width="16" customWidth="1"/>
    <col min="9" max="9" width="12" bestFit="1" customWidth="1"/>
    <col min="12" max="12" width="8" customWidth="1"/>
    <col min="13" max="13" width="22" bestFit="1" customWidth="1"/>
    <col min="14" max="14" width="29.6640625" bestFit="1" customWidth="1"/>
    <col min="16" max="16" width="26" bestFit="1" customWidth="1"/>
  </cols>
  <sheetData>
    <row r="1" spans="1:24">
      <c r="A1" t="s">
        <v>378</v>
      </c>
      <c r="G1" s="16">
        <v>44256</v>
      </c>
      <c r="I1" t="s">
        <v>414</v>
      </c>
      <c r="L1" s="77" t="s">
        <v>312</v>
      </c>
      <c r="M1" s="77" t="s">
        <v>371</v>
      </c>
      <c r="N1" s="78" t="s">
        <v>416</v>
      </c>
      <c r="P1" s="88" t="s">
        <v>422</v>
      </c>
      <c r="R1" t="s">
        <v>410</v>
      </c>
    </row>
    <row r="2" spans="1:24">
      <c r="A2" s="3" t="s">
        <v>370</v>
      </c>
      <c r="B2" s="3" t="s">
        <v>276</v>
      </c>
      <c r="C2" s="3" t="s">
        <v>295</v>
      </c>
      <c r="D2" s="83" t="s">
        <v>372</v>
      </c>
      <c r="E2" s="84" t="s">
        <v>418</v>
      </c>
      <c r="F2" s="83" t="s">
        <v>419</v>
      </c>
      <c r="G2" s="84" t="s">
        <v>379</v>
      </c>
      <c r="H2" s="83" t="s">
        <v>377</v>
      </c>
      <c r="I2" s="84" t="s">
        <v>417</v>
      </c>
      <c r="L2" s="79">
        <v>44044</v>
      </c>
      <c r="M2" s="80">
        <v>7000</v>
      </c>
      <c r="N2" s="81">
        <v>3000</v>
      </c>
      <c r="P2">
        <v>3000</v>
      </c>
      <c r="R2" t="s">
        <v>408</v>
      </c>
    </row>
    <row r="3" spans="1:24">
      <c r="A3" s="3" t="s">
        <v>202</v>
      </c>
      <c r="B3" s="10">
        <v>6.9437373470505421E-3</v>
      </c>
      <c r="C3" s="76">
        <v>0.17499999999999999</v>
      </c>
      <c r="D3" s="90">
        <f>C3*$N$13</f>
        <v>4342.2242499999993</v>
      </c>
      <c r="E3" s="93">
        <v>3812.76</v>
      </c>
      <c r="F3" s="90">
        <f>D3-E3</f>
        <v>529.46424999999908</v>
      </c>
      <c r="G3" s="3">
        <v>200.08</v>
      </c>
      <c r="H3" s="92">
        <f>F3/G3</f>
        <v>2.6462627449020344</v>
      </c>
      <c r="I3" s="27">
        <f t="shared" ref="I3:I10" si="0">H3*G3</f>
        <v>529.46424999999908</v>
      </c>
      <c r="L3" s="82">
        <v>44075</v>
      </c>
      <c r="M3" s="3">
        <v>4125</v>
      </c>
      <c r="N3" s="3">
        <v>6000</v>
      </c>
      <c r="P3" s="88" t="s">
        <v>423</v>
      </c>
      <c r="R3" t="s">
        <v>411</v>
      </c>
    </row>
    <row r="4" spans="1:24">
      <c r="A4" s="3" t="s">
        <v>218</v>
      </c>
      <c r="B4" s="10">
        <v>4.5655376904118628E-3</v>
      </c>
      <c r="C4" s="76">
        <v>0.17499999999999999</v>
      </c>
      <c r="D4" s="90">
        <f t="shared" ref="D4:D11" si="1">C4*$N$13</f>
        <v>4342.2242499999993</v>
      </c>
      <c r="E4" s="93">
        <v>3874.8</v>
      </c>
      <c r="F4" s="90">
        <f t="shared" ref="F4:F10" si="2">D4-E4</f>
        <v>467.42424999999912</v>
      </c>
      <c r="G4" s="3">
        <v>61.24</v>
      </c>
      <c r="H4" s="92">
        <f t="shared" ref="H4" si="3">F4/G4</f>
        <v>7.6326624755061907</v>
      </c>
      <c r="I4" s="27">
        <f t="shared" si="0"/>
        <v>467.42424999999912</v>
      </c>
      <c r="L4" s="82">
        <v>44105</v>
      </c>
      <c r="M4" s="3">
        <v>1125</v>
      </c>
      <c r="N4" s="3">
        <v>9000</v>
      </c>
      <c r="P4">
        <f>P2*3</f>
        <v>9000</v>
      </c>
      <c r="R4" t="s">
        <v>409</v>
      </c>
    </row>
    <row r="5" spans="1:24">
      <c r="A5" s="3" t="s">
        <v>222</v>
      </c>
      <c r="B5" s="10">
        <v>4.6058561578087793E-3</v>
      </c>
      <c r="C5" s="76">
        <v>0.17499999999999999</v>
      </c>
      <c r="D5" s="90">
        <f t="shared" si="1"/>
        <v>4342.2242499999993</v>
      </c>
      <c r="E5" s="93">
        <v>3819.84</v>
      </c>
      <c r="F5" s="90">
        <f t="shared" si="2"/>
        <v>522.38424999999916</v>
      </c>
      <c r="G5" s="3">
        <v>80.709999999999994</v>
      </c>
      <c r="H5" s="92">
        <f>F5/G5</f>
        <v>6.472360921818848</v>
      </c>
      <c r="I5" s="27">
        <f t="shared" si="0"/>
        <v>522.38424999999916</v>
      </c>
      <c r="L5" s="82">
        <v>44136</v>
      </c>
      <c r="M5" s="3">
        <f>M4+4977</f>
        <v>6102</v>
      </c>
      <c r="N5" s="3">
        <v>9000</v>
      </c>
      <c r="O5" t="s">
        <v>380</v>
      </c>
    </row>
    <row r="6" spans="1:24">
      <c r="A6" s="3" t="s">
        <v>226</v>
      </c>
      <c r="B6" s="10">
        <v>4.0295501993861072E-3</v>
      </c>
      <c r="C6" s="76">
        <v>0.17499999999999999</v>
      </c>
      <c r="D6" s="90">
        <f t="shared" si="1"/>
        <v>4342.2242499999993</v>
      </c>
      <c r="E6" s="93">
        <v>3748</v>
      </c>
      <c r="F6" s="90">
        <f t="shared" si="2"/>
        <v>594.2242499999993</v>
      </c>
      <c r="G6" s="3">
        <v>52.49</v>
      </c>
      <c r="H6" s="92">
        <f t="shared" ref="H6:H10" si="4">F6/G6</f>
        <v>11.320713469232221</v>
      </c>
      <c r="I6" s="27">
        <f t="shared" si="0"/>
        <v>594.2242499999993</v>
      </c>
      <c r="L6" s="82">
        <v>44136</v>
      </c>
      <c r="M6" s="3">
        <v>3080</v>
      </c>
      <c r="N6" s="3">
        <v>12772.66</v>
      </c>
    </row>
    <row r="7" spans="1:24">
      <c r="A7" s="3" t="s">
        <v>207</v>
      </c>
      <c r="B7" s="10">
        <v>2.8976175082942013E-3</v>
      </c>
      <c r="C7" s="76">
        <v>7.4999999999999997E-2</v>
      </c>
      <c r="D7" s="90">
        <f t="shared" si="1"/>
        <v>1860.9532499999998</v>
      </c>
      <c r="E7" s="93">
        <v>1644.56</v>
      </c>
      <c r="F7" s="90">
        <f t="shared" si="2"/>
        <v>216.39324999999985</v>
      </c>
      <c r="G7" s="3">
        <v>68.09</v>
      </c>
      <c r="H7" s="92">
        <f t="shared" si="4"/>
        <v>3.1780474372154477</v>
      </c>
      <c r="I7" s="27">
        <f t="shared" si="0"/>
        <v>216.39324999999985</v>
      </c>
      <c r="L7" s="82">
        <v>44166</v>
      </c>
      <c r="M7" s="3">
        <f>M6-P2</f>
        <v>80</v>
      </c>
      <c r="N7" s="3">
        <f>N6+P2</f>
        <v>15772.66</v>
      </c>
      <c r="O7">
        <f>N7+3000</f>
        <v>18772.66</v>
      </c>
    </row>
    <row r="8" spans="1:24">
      <c r="A8" s="3" t="s">
        <v>213</v>
      </c>
      <c r="B8" s="10">
        <v>3.3802607175204323E-3</v>
      </c>
      <c r="C8" s="76">
        <v>7.4999999999999997E-2</v>
      </c>
      <c r="D8" s="90">
        <f t="shared" si="1"/>
        <v>1860.9532499999998</v>
      </c>
      <c r="E8" s="93">
        <v>1638.87</v>
      </c>
      <c r="F8" s="90">
        <f t="shared" si="2"/>
        <v>222.08324999999991</v>
      </c>
      <c r="G8" s="3">
        <v>125.83</v>
      </c>
      <c r="H8" s="92">
        <f t="shared" si="4"/>
        <v>1.764946753556385</v>
      </c>
      <c r="I8" s="27">
        <f t="shared" si="0"/>
        <v>222.08324999999991</v>
      </c>
      <c r="L8" s="82">
        <v>44197</v>
      </c>
      <c r="M8" s="3">
        <v>3963.42</v>
      </c>
      <c r="N8" s="3">
        <v>15461.52</v>
      </c>
      <c r="O8" t="s">
        <v>380</v>
      </c>
    </row>
    <row r="9" spans="1:24">
      <c r="A9" s="3" t="s">
        <v>275</v>
      </c>
      <c r="B9" s="10">
        <v>4.964654056268324E-3</v>
      </c>
      <c r="C9" s="76">
        <v>7.4999999999999997E-2</v>
      </c>
      <c r="D9" s="90">
        <f t="shared" si="1"/>
        <v>1860.9532499999998</v>
      </c>
      <c r="E9" s="93">
        <v>1621.98</v>
      </c>
      <c r="F9" s="90">
        <f t="shared" si="2"/>
        <v>238.97324999999978</v>
      </c>
      <c r="G9" s="3">
        <v>29.99</v>
      </c>
      <c r="H9" s="92">
        <f t="shared" si="4"/>
        <v>7.9684311437145645</v>
      </c>
      <c r="I9" s="27">
        <f t="shared" si="0"/>
        <v>238.97324999999978</v>
      </c>
      <c r="L9" s="82">
        <v>44197</v>
      </c>
      <c r="M9" s="3">
        <v>709</v>
      </c>
      <c r="N9" s="3">
        <f>N8+P2</f>
        <v>18461.52</v>
      </c>
    </row>
    <row r="10" spans="1:24">
      <c r="A10" s="3" t="s">
        <v>261</v>
      </c>
      <c r="B10" s="10">
        <v>1.1034540817286566E-3</v>
      </c>
      <c r="C10" s="76">
        <v>7.4999999999999997E-2</v>
      </c>
      <c r="D10" s="90">
        <f t="shared" si="1"/>
        <v>1860.9532499999998</v>
      </c>
      <c r="E10" s="93">
        <v>1651.89</v>
      </c>
      <c r="F10" s="90">
        <f t="shared" si="2"/>
        <v>209.0632499999997</v>
      </c>
      <c r="G10" s="3">
        <v>56.77</v>
      </c>
      <c r="H10" s="92">
        <f t="shared" si="4"/>
        <v>3.6826360753919269</v>
      </c>
      <c r="I10" s="27">
        <f t="shared" si="0"/>
        <v>209.0632499999997</v>
      </c>
      <c r="L10" s="82">
        <v>44228</v>
      </c>
      <c r="M10" s="3">
        <v>3686.58</v>
      </c>
      <c r="N10" s="3">
        <v>19096.87</v>
      </c>
    </row>
    <row r="11" spans="1:24">
      <c r="A11" s="3" t="s">
        <v>421</v>
      </c>
      <c r="B11" s="10"/>
      <c r="C11" s="19">
        <v>0.99999999999999978</v>
      </c>
      <c r="D11" s="90">
        <f t="shared" si="1"/>
        <v>24812.709999999992</v>
      </c>
      <c r="E11" s="93">
        <f>SUM(E3:E10)</f>
        <v>21812.7</v>
      </c>
      <c r="F11" s="90">
        <f>SUM(F3:F10)</f>
        <v>3000.0099999999961</v>
      </c>
      <c r="G11" s="3"/>
      <c r="H11" s="27"/>
      <c r="I11" s="27">
        <f>SUM(I3:I10)</f>
        <v>3000.0099999999961</v>
      </c>
      <c r="L11" s="82">
        <v>44228</v>
      </c>
      <c r="M11" s="3">
        <v>802.5</v>
      </c>
      <c r="N11" s="3">
        <f>N10+$P$2</f>
        <v>22096.87</v>
      </c>
    </row>
    <row r="12" spans="1:24">
      <c r="A12" s="94"/>
      <c r="B12" s="94"/>
      <c r="C12" s="94"/>
      <c r="D12" s="94"/>
      <c r="E12" s="94"/>
      <c r="F12" s="94"/>
      <c r="G12" s="94"/>
      <c r="H12" s="94"/>
      <c r="I12" s="94"/>
      <c r="L12" s="82">
        <v>44256</v>
      </c>
      <c r="M12" s="3">
        <v>3779.49</v>
      </c>
      <c r="N12" s="3">
        <v>21812.71</v>
      </c>
    </row>
    <row r="13" spans="1:24">
      <c r="A13" t="s">
        <v>378</v>
      </c>
      <c r="G13" s="16">
        <v>44317</v>
      </c>
      <c r="I13" t="s">
        <v>414</v>
      </c>
      <c r="L13" s="82">
        <v>44256</v>
      </c>
      <c r="M13" s="3">
        <f>M12-P2</f>
        <v>779.48999999999978</v>
      </c>
      <c r="N13" s="3">
        <f>N12+P2</f>
        <v>24812.71</v>
      </c>
      <c r="R13" s="3" t="s">
        <v>370</v>
      </c>
      <c r="S13" s="3" t="s">
        <v>276</v>
      </c>
      <c r="T13" s="3" t="s">
        <v>277</v>
      </c>
      <c r="U13" s="3" t="s">
        <v>295</v>
      </c>
      <c r="V13" s="83" t="s">
        <v>372</v>
      </c>
      <c r="W13" s="84" t="s">
        <v>373</v>
      </c>
      <c r="X13" s="91" t="s">
        <v>374</v>
      </c>
    </row>
    <row r="14" spans="1:24">
      <c r="A14" s="3" t="s">
        <v>370</v>
      </c>
      <c r="B14" s="3" t="s">
        <v>276</v>
      </c>
      <c r="C14" s="3" t="s">
        <v>295</v>
      </c>
      <c r="D14" s="83" t="s">
        <v>372</v>
      </c>
      <c r="E14" s="84" t="s">
        <v>418</v>
      </c>
      <c r="F14" s="83" t="s">
        <v>419</v>
      </c>
      <c r="G14" s="84" t="s">
        <v>379</v>
      </c>
      <c r="H14" s="83" t="s">
        <v>377</v>
      </c>
      <c r="I14" s="84" t="s">
        <v>417</v>
      </c>
      <c r="L14" s="82">
        <v>44317</v>
      </c>
      <c r="M14" s="3">
        <v>9650</v>
      </c>
      <c r="N14" s="3">
        <v>25610</v>
      </c>
      <c r="O14" t="s">
        <v>380</v>
      </c>
      <c r="R14" s="3" t="s">
        <v>202</v>
      </c>
      <c r="S14" s="10">
        <v>6.9437373470505421E-3</v>
      </c>
      <c r="T14" s="19">
        <v>0.19659729047528732</v>
      </c>
      <c r="U14" s="76">
        <v>0.17499999999999999</v>
      </c>
      <c r="V14" s="83">
        <f>U14*$N$2</f>
        <v>525</v>
      </c>
      <c r="W14" s="3">
        <v>164.24</v>
      </c>
      <c r="X14" s="86">
        <f>V14/W14</f>
        <v>3.196541646371164</v>
      </c>
    </row>
    <row r="15" spans="1:24">
      <c r="A15" s="3" t="s">
        <v>202</v>
      </c>
      <c r="B15" s="10">
        <v>6.9437373470505421E-3</v>
      </c>
      <c r="C15" s="76">
        <v>0.17499999999999999</v>
      </c>
      <c r="D15" s="90">
        <f>C15*$N$15</f>
        <v>6056.75</v>
      </c>
      <c r="E15" s="93">
        <v>4771.75</v>
      </c>
      <c r="F15" s="90">
        <f>D15-E15</f>
        <v>1285</v>
      </c>
      <c r="G15" s="3">
        <v>215.78</v>
      </c>
      <c r="H15" s="92">
        <f>F15/G15</f>
        <v>5.9551394939290017</v>
      </c>
      <c r="I15" s="27">
        <f t="shared" ref="I15:I22" si="5">H15*G15</f>
        <v>1285</v>
      </c>
      <c r="L15" s="82">
        <v>44317</v>
      </c>
      <c r="M15" s="3">
        <f>M14-P4</f>
        <v>650</v>
      </c>
      <c r="N15" s="3">
        <f>N14+P4</f>
        <v>34610</v>
      </c>
      <c r="R15" s="3" t="s">
        <v>218</v>
      </c>
      <c r="S15" s="10">
        <v>4.5655376904118628E-3</v>
      </c>
      <c r="T15" s="19">
        <v>-1.39854944395871E-2</v>
      </c>
      <c r="U15" s="76">
        <v>0.17499999999999999</v>
      </c>
      <c r="V15" s="83">
        <f t="shared" ref="V15" si="6">U15*$N$2</f>
        <v>525</v>
      </c>
      <c r="W15" s="3">
        <v>52.29</v>
      </c>
      <c r="X15" s="86">
        <f t="shared" ref="X15" si="7">V15/W15</f>
        <v>10.040160642570282</v>
      </c>
    </row>
    <row r="16" spans="1:24">
      <c r="A16" s="3" t="s">
        <v>218</v>
      </c>
      <c r="B16" s="10">
        <v>4.5655376904118628E-3</v>
      </c>
      <c r="C16" s="76">
        <v>0.17499999999999999</v>
      </c>
      <c r="D16" s="90">
        <f t="shared" ref="D16:D23" si="8">C16*$N$15</f>
        <v>6056.75</v>
      </c>
      <c r="E16" s="93">
        <v>4699.8</v>
      </c>
      <c r="F16" s="90">
        <f t="shared" ref="F16:F22" si="9">D16-E16</f>
        <v>1356.9499999999998</v>
      </c>
      <c r="G16" s="3">
        <v>65.92</v>
      </c>
      <c r="H16" s="92">
        <f t="shared" ref="H16" si="10">F16/G16</f>
        <v>20.584799757281552</v>
      </c>
      <c r="I16" s="27">
        <f t="shared" si="5"/>
        <v>1356.9499999999998</v>
      </c>
      <c r="R16" s="3" t="s">
        <v>222</v>
      </c>
      <c r="S16" s="10">
        <v>4.6058561578087793E-3</v>
      </c>
      <c r="T16" s="19">
        <v>1.8789660201875294E-2</v>
      </c>
      <c r="U16" s="76">
        <v>0.17499999999999999</v>
      </c>
      <c r="V16" s="83">
        <f t="shared" ref="V16:V22" si="11">U16*$N$2</f>
        <v>525</v>
      </c>
      <c r="W16" s="3">
        <v>63.97</v>
      </c>
      <c r="X16" s="86">
        <f t="shared" ref="X16:X21" si="12">V16/W16</f>
        <v>8.2069720181335004</v>
      </c>
    </row>
    <row r="17" spans="1:25">
      <c r="A17" s="3" t="s">
        <v>222</v>
      </c>
      <c r="B17" s="10">
        <v>4.6058561578087793E-3</v>
      </c>
      <c r="C17" s="76">
        <v>0.17499999999999999</v>
      </c>
      <c r="D17" s="90">
        <f t="shared" si="8"/>
        <v>6056.75</v>
      </c>
      <c r="E17" s="93">
        <v>4369.18</v>
      </c>
      <c r="F17" s="90">
        <f t="shared" si="9"/>
        <v>1687.5699999999997</v>
      </c>
      <c r="G17" s="3">
        <v>104.87</v>
      </c>
      <c r="H17" s="92">
        <f>F17/G17</f>
        <v>16.092018689806423</v>
      </c>
      <c r="I17" s="27">
        <f t="shared" si="5"/>
        <v>1687.5699999999997</v>
      </c>
      <c r="R17" s="3" t="s">
        <v>226</v>
      </c>
      <c r="S17" s="10">
        <v>4.0295501993861072E-3</v>
      </c>
      <c r="T17" s="19">
        <v>4.4603793542928059E-2</v>
      </c>
      <c r="U17" s="76">
        <v>0.17499999999999999</v>
      </c>
      <c r="V17" s="83">
        <f t="shared" si="11"/>
        <v>525</v>
      </c>
      <c r="W17" s="3">
        <v>42.94</v>
      </c>
      <c r="X17" s="86">
        <f t="shared" si="12"/>
        <v>12.226362366092223</v>
      </c>
    </row>
    <row r="18" spans="1:25">
      <c r="A18" s="3" t="s">
        <v>226</v>
      </c>
      <c r="B18" s="10">
        <v>4.0295501993861072E-3</v>
      </c>
      <c r="C18" s="76">
        <v>0.17499999999999999</v>
      </c>
      <c r="D18" s="90">
        <f t="shared" si="8"/>
        <v>6056.75</v>
      </c>
      <c r="E18" s="93">
        <v>4314.6400000000003</v>
      </c>
      <c r="F18" s="90">
        <f t="shared" si="9"/>
        <v>1742.1099999999997</v>
      </c>
      <c r="G18" s="3">
        <v>52.3</v>
      </c>
      <c r="H18" s="92">
        <f t="shared" ref="H18:H22" si="13">F18/G18</f>
        <v>33.309942638623319</v>
      </c>
      <c r="I18" s="27">
        <f t="shared" si="5"/>
        <v>1742.1099999999994</v>
      </c>
      <c r="M18" s="79">
        <v>44044</v>
      </c>
      <c r="N18">
        <v>-10000</v>
      </c>
      <c r="R18" s="3" t="s">
        <v>207</v>
      </c>
      <c r="S18" s="10">
        <v>2.8976175082942013E-3</v>
      </c>
      <c r="T18" s="19">
        <v>0.88050962948845257</v>
      </c>
      <c r="U18" s="76">
        <v>7.4999999999999997E-2</v>
      </c>
      <c r="V18" s="83">
        <f t="shared" si="11"/>
        <v>225</v>
      </c>
      <c r="W18" s="3">
        <v>70.8</v>
      </c>
      <c r="X18" s="86">
        <f t="shared" si="12"/>
        <v>3.1779661016949152</v>
      </c>
    </row>
    <row r="19" spans="1:25">
      <c r="A19" s="3" t="s">
        <v>207</v>
      </c>
      <c r="B19" s="10">
        <v>2.8976175082942013E-3</v>
      </c>
      <c r="C19" s="76">
        <v>7.4999999999999997E-2</v>
      </c>
      <c r="D19" s="90">
        <f t="shared" si="8"/>
        <v>2595.75</v>
      </c>
      <c r="E19" s="93">
        <v>1839.14</v>
      </c>
      <c r="F19" s="90">
        <f t="shared" si="9"/>
        <v>756.6099999999999</v>
      </c>
      <c r="G19" s="3">
        <v>67.989999999999995</v>
      </c>
      <c r="H19" s="92">
        <f t="shared" si="13"/>
        <v>11.128254155022796</v>
      </c>
      <c r="I19" s="27">
        <f t="shared" si="5"/>
        <v>756.6099999999999</v>
      </c>
      <c r="M19" s="82">
        <v>44075</v>
      </c>
      <c r="N19">
        <v>0</v>
      </c>
      <c r="R19" s="3" t="s">
        <v>213</v>
      </c>
      <c r="S19" s="10">
        <v>3.3802607175204323E-3</v>
      </c>
      <c r="T19" s="19">
        <v>-1.3310909567360798E-2</v>
      </c>
      <c r="U19" s="76">
        <v>7.4999999999999997E-2</v>
      </c>
      <c r="V19" s="83">
        <f t="shared" si="11"/>
        <v>225</v>
      </c>
      <c r="W19" s="3">
        <v>125.53</v>
      </c>
      <c r="X19" s="86">
        <f t="shared" si="12"/>
        <v>1.79240022305425</v>
      </c>
    </row>
    <row r="20" spans="1:25">
      <c r="A20" s="3" t="s">
        <v>213</v>
      </c>
      <c r="B20" s="10">
        <v>3.3802607175204323E-3</v>
      </c>
      <c r="C20" s="76">
        <v>7.4999999999999997E-2</v>
      </c>
      <c r="D20" s="90">
        <f t="shared" si="8"/>
        <v>2595.75</v>
      </c>
      <c r="E20" s="93">
        <v>1912.51</v>
      </c>
      <c r="F20" s="90">
        <f t="shared" si="9"/>
        <v>683.24</v>
      </c>
      <c r="G20" s="3">
        <v>130</v>
      </c>
      <c r="H20" s="92">
        <f t="shared" si="13"/>
        <v>5.2556923076923079</v>
      </c>
      <c r="I20" s="27">
        <f t="shared" si="5"/>
        <v>683.24</v>
      </c>
      <c r="M20" s="82">
        <v>44105</v>
      </c>
      <c r="N20">
        <v>-4977</v>
      </c>
      <c r="R20" s="3" t="s">
        <v>275</v>
      </c>
      <c r="S20" s="10">
        <v>4.964654056268324E-3</v>
      </c>
      <c r="T20" s="19">
        <v>1.2241863224983185E-2</v>
      </c>
      <c r="U20" s="76">
        <v>7.4999999999999997E-2</v>
      </c>
      <c r="V20" s="83">
        <f t="shared" si="11"/>
        <v>225</v>
      </c>
      <c r="W20" s="3">
        <v>30.05</v>
      </c>
      <c r="X20" s="86">
        <f t="shared" si="12"/>
        <v>7.4875207986688848</v>
      </c>
    </row>
    <row r="21" spans="1:25">
      <c r="A21" s="3" t="s">
        <v>275</v>
      </c>
      <c r="B21" s="10">
        <v>4.964654056268324E-3</v>
      </c>
      <c r="C21" s="76">
        <v>7.4999999999999997E-2</v>
      </c>
      <c r="D21" s="90">
        <f t="shared" si="8"/>
        <v>2595.75</v>
      </c>
      <c r="E21" s="93">
        <v>1842.52</v>
      </c>
      <c r="F21" s="90">
        <f t="shared" si="9"/>
        <v>753.23</v>
      </c>
      <c r="G21" s="3">
        <v>39.979999999999997</v>
      </c>
      <c r="H21" s="92">
        <f t="shared" si="13"/>
        <v>18.840170085042523</v>
      </c>
      <c r="I21" s="27">
        <f t="shared" si="5"/>
        <v>753.23</v>
      </c>
      <c r="M21" s="82">
        <v>44136</v>
      </c>
      <c r="N21">
        <v>15424</v>
      </c>
      <c r="R21" s="3" t="s">
        <v>261</v>
      </c>
      <c r="S21" s="10">
        <v>1.1034540817286566E-3</v>
      </c>
      <c r="T21" s="19">
        <v>-0.12544583292657832</v>
      </c>
      <c r="U21" s="76">
        <v>7.4999999999999997E-2</v>
      </c>
      <c r="V21" s="83">
        <f t="shared" si="11"/>
        <v>225</v>
      </c>
      <c r="W21" s="3">
        <v>55.8</v>
      </c>
      <c r="X21" s="86">
        <f t="shared" si="12"/>
        <v>4.032258064516129</v>
      </c>
    </row>
    <row r="22" spans="1:25">
      <c r="A22" s="3" t="s">
        <v>261</v>
      </c>
      <c r="B22" s="10">
        <v>1.1034540817286566E-3</v>
      </c>
      <c r="C22" s="76">
        <v>7.4999999999999997E-2</v>
      </c>
      <c r="D22" s="90">
        <f t="shared" si="8"/>
        <v>2595.75</v>
      </c>
      <c r="E22" s="93">
        <v>1861.44</v>
      </c>
      <c r="F22" s="90">
        <f t="shared" si="9"/>
        <v>734.31</v>
      </c>
      <c r="G22" s="3">
        <v>65.31</v>
      </c>
      <c r="H22" s="92">
        <f t="shared" si="13"/>
        <v>11.243454294901239</v>
      </c>
      <c r="I22" s="27">
        <f t="shared" si="5"/>
        <v>734.31</v>
      </c>
      <c r="M22" s="82"/>
      <c r="N22" s="1">
        <f>XIRR(N18:N21,M18:M21)</f>
        <v>0.16102133393287663</v>
      </c>
      <c r="R22" s="3"/>
      <c r="S22" s="10"/>
      <c r="T22" s="19">
        <v>1.0000000000000002</v>
      </c>
      <c r="U22" s="19">
        <v>0.99999999999999978</v>
      </c>
      <c r="V22" s="83">
        <f t="shared" si="11"/>
        <v>2999.9999999999995</v>
      </c>
      <c r="W22" s="3"/>
      <c r="X22" s="91"/>
    </row>
    <row r="23" spans="1:25">
      <c r="A23" s="3" t="s">
        <v>421</v>
      </c>
      <c r="B23" s="10"/>
      <c r="C23" s="19">
        <v>0.99999999999999978</v>
      </c>
      <c r="D23" s="90">
        <f t="shared" si="8"/>
        <v>34609.999999999993</v>
      </c>
      <c r="E23" s="93">
        <f>SUM(E15:E22)</f>
        <v>25610.979999999996</v>
      </c>
      <c r="F23" s="90">
        <f>SUM(F15:F22)</f>
        <v>8999.0199999999986</v>
      </c>
      <c r="G23" s="3"/>
      <c r="H23" s="27"/>
      <c r="I23" s="27">
        <f>SUM(I15:I22)</f>
        <v>8999.0199999999986</v>
      </c>
    </row>
    <row r="24" spans="1:25">
      <c r="A24" s="94"/>
      <c r="B24" s="97"/>
      <c r="C24" s="98"/>
      <c r="D24" s="96"/>
      <c r="E24" s="96"/>
      <c r="F24" s="96"/>
      <c r="G24" s="94"/>
      <c r="H24" s="95"/>
      <c r="I24" s="95"/>
      <c r="R24" s="3" t="s">
        <v>370</v>
      </c>
      <c r="S24" s="3" t="s">
        <v>276</v>
      </c>
      <c r="T24" s="3" t="s">
        <v>295</v>
      </c>
      <c r="U24" s="83" t="s">
        <v>372</v>
      </c>
      <c r="V24" s="84" t="s">
        <v>373</v>
      </c>
      <c r="W24" s="84" t="s">
        <v>374</v>
      </c>
      <c r="X24" s="84" t="s">
        <v>376</v>
      </c>
      <c r="Y24" s="84" t="s">
        <v>377</v>
      </c>
    </row>
    <row r="25" spans="1:25">
      <c r="A25" s="94"/>
      <c r="B25" s="97"/>
      <c r="C25" s="99"/>
      <c r="D25" s="96"/>
      <c r="E25" s="96"/>
      <c r="F25" s="96"/>
      <c r="G25" s="94"/>
      <c r="H25" s="95"/>
      <c r="I25" s="95"/>
      <c r="R25" s="3" t="s">
        <v>202</v>
      </c>
      <c r="S25" s="10">
        <v>6.9437373470505421E-3</v>
      </c>
      <c r="T25" s="76">
        <v>0.17499999999999999</v>
      </c>
      <c r="U25" s="83">
        <f>T25*$N$3</f>
        <v>1050</v>
      </c>
      <c r="V25" s="3">
        <v>177.28</v>
      </c>
      <c r="W25" s="85">
        <f>U25/V25</f>
        <v>5.9228339350180503</v>
      </c>
      <c r="X25" s="86">
        <v>3.196541646371164</v>
      </c>
      <c r="Y25" s="27">
        <f>W25-X25</f>
        <v>2.7262922886468863</v>
      </c>
    </row>
    <row r="26" spans="1:25">
      <c r="E26" s="17"/>
      <c r="R26" s="3" t="s">
        <v>218</v>
      </c>
      <c r="S26" s="10">
        <v>4.5655376904118628E-3</v>
      </c>
      <c r="T26" s="76">
        <v>0.17499999999999999</v>
      </c>
      <c r="U26" s="83">
        <f t="shared" ref="U26:U33" si="14">T26*$N$3</f>
        <v>1050</v>
      </c>
      <c r="V26" s="3">
        <v>54.42</v>
      </c>
      <c r="W26" s="85">
        <f>U26/V26</f>
        <v>19.294377067254686</v>
      </c>
      <c r="X26" s="86">
        <v>10.040160642570282</v>
      </c>
      <c r="Y26" s="27">
        <f t="shared" ref="Y26:Y33" si="15">W26-X26</f>
        <v>9.2542164246844045</v>
      </c>
    </row>
    <row r="27" spans="1:25">
      <c r="E27" s="17"/>
      <c r="R27" s="3" t="s">
        <v>222</v>
      </c>
      <c r="S27" s="10">
        <v>4.6058561578087793E-3</v>
      </c>
      <c r="T27" s="76">
        <v>0.17499999999999999</v>
      </c>
      <c r="U27" s="83">
        <f t="shared" si="14"/>
        <v>1050</v>
      </c>
      <c r="V27" s="3">
        <v>67.95</v>
      </c>
      <c r="W27" s="85">
        <f t="shared" ref="W27:W31" si="16">U27/V27</f>
        <v>15.452538631346577</v>
      </c>
      <c r="X27" s="86">
        <v>8.2069720181335004</v>
      </c>
      <c r="Y27" s="27">
        <f t="shared" si="15"/>
        <v>7.2455666132130769</v>
      </c>
    </row>
    <row r="28" spans="1:25">
      <c r="E28" s="17"/>
      <c r="R28" s="3" t="s">
        <v>226</v>
      </c>
      <c r="S28" s="10">
        <v>4.0295501993861072E-3</v>
      </c>
      <c r="T28" s="76">
        <v>0.17499999999999999</v>
      </c>
      <c r="U28" s="83">
        <f t="shared" si="14"/>
        <v>1050</v>
      </c>
      <c r="V28" s="3">
        <v>44.19</v>
      </c>
      <c r="W28" s="85">
        <f t="shared" si="16"/>
        <v>23.76103190767142</v>
      </c>
      <c r="X28" s="86">
        <v>12.226362366092223</v>
      </c>
      <c r="Y28" s="27">
        <f t="shared" si="15"/>
        <v>11.534669541579197</v>
      </c>
    </row>
    <row r="29" spans="1:25">
      <c r="E29" s="17"/>
      <c r="R29" s="3" t="s">
        <v>207</v>
      </c>
      <c r="S29" s="10">
        <v>2.8976175082942013E-3</v>
      </c>
      <c r="T29" s="76">
        <v>7.4999999999999997E-2</v>
      </c>
      <c r="U29" s="83">
        <f t="shared" si="14"/>
        <v>450</v>
      </c>
      <c r="V29" s="3">
        <v>70.459999999999994</v>
      </c>
      <c r="W29" s="85">
        <f t="shared" si="16"/>
        <v>6.3866023275617376</v>
      </c>
      <c r="X29" s="86">
        <v>3.1779661016949152</v>
      </c>
      <c r="Y29" s="27">
        <f t="shared" si="15"/>
        <v>3.2086362258668224</v>
      </c>
    </row>
    <row r="30" spans="1:25">
      <c r="E30" s="17"/>
      <c r="R30" s="3" t="s">
        <v>213</v>
      </c>
      <c r="S30" s="10">
        <v>3.3802607175204323E-3</v>
      </c>
      <c r="T30" s="76">
        <v>7.4999999999999997E-2</v>
      </c>
      <c r="U30" s="83">
        <f t="shared" si="14"/>
        <v>450</v>
      </c>
      <c r="V30" s="3">
        <v>126.98</v>
      </c>
      <c r="W30" s="85">
        <f t="shared" si="16"/>
        <v>3.5438651756182074</v>
      </c>
      <c r="X30" s="86">
        <v>1.79240022305425</v>
      </c>
      <c r="Y30" s="27">
        <f t="shared" si="15"/>
        <v>1.7514649525639574</v>
      </c>
    </row>
    <row r="31" spans="1:25">
      <c r="E31" s="17"/>
      <c r="R31" s="3" t="s">
        <v>275</v>
      </c>
      <c r="S31" s="10">
        <v>4.964654056268324E-3</v>
      </c>
      <c r="T31" s="76">
        <v>7.4999999999999997E-2</v>
      </c>
      <c r="U31" s="83">
        <f t="shared" si="14"/>
        <v>450</v>
      </c>
      <c r="V31" s="3">
        <v>30.06</v>
      </c>
      <c r="W31" s="85">
        <f t="shared" si="16"/>
        <v>14.970059880239521</v>
      </c>
      <c r="X31" s="86">
        <v>7.4875207986688848</v>
      </c>
      <c r="Y31" s="27">
        <f t="shared" si="15"/>
        <v>7.4825390815706365</v>
      </c>
    </row>
    <row r="32" spans="1:25">
      <c r="E32" s="17"/>
      <c r="R32" s="3" t="s">
        <v>261</v>
      </c>
      <c r="S32" s="10">
        <v>1.1034540817286566E-3</v>
      </c>
      <c r="T32" s="76">
        <v>7.4999999999999997E-2</v>
      </c>
      <c r="U32" s="83">
        <f t="shared" si="14"/>
        <v>450</v>
      </c>
      <c r="V32" s="3">
        <v>55.49</v>
      </c>
      <c r="W32" s="85">
        <f>U32/V32</f>
        <v>8.1095692917642808</v>
      </c>
      <c r="X32" s="86">
        <v>4.032258064516129</v>
      </c>
      <c r="Y32" s="27">
        <f t="shared" si="15"/>
        <v>4.0773112272481518</v>
      </c>
    </row>
    <row r="33" spans="5:25">
      <c r="E33" s="17"/>
      <c r="R33" s="3"/>
      <c r="S33" s="10"/>
      <c r="T33" s="19">
        <v>0.99999999999999978</v>
      </c>
      <c r="U33" s="83">
        <f t="shared" si="14"/>
        <v>5999.9999999999991</v>
      </c>
      <c r="V33" s="3"/>
      <c r="W33" s="84"/>
      <c r="X33" s="84"/>
      <c r="Y33" s="27">
        <f t="shared" si="15"/>
        <v>0</v>
      </c>
    </row>
    <row r="34" spans="5:25">
      <c r="E34" s="17"/>
    </row>
    <row r="35" spans="5:25">
      <c r="R35" t="s">
        <v>378</v>
      </c>
    </row>
    <row r="36" spans="5:25">
      <c r="R36" s="3" t="s">
        <v>370</v>
      </c>
      <c r="S36" s="3" t="s">
        <v>276</v>
      </c>
      <c r="T36" s="3" t="s">
        <v>295</v>
      </c>
      <c r="U36" s="83" t="s">
        <v>372</v>
      </c>
      <c r="V36" s="84" t="s">
        <v>379</v>
      </c>
      <c r="W36" s="84" t="s">
        <v>374</v>
      </c>
      <c r="X36" s="84" t="s">
        <v>376</v>
      </c>
      <c r="Y36" s="84" t="s">
        <v>377</v>
      </c>
    </row>
    <row r="37" spans="5:25">
      <c r="R37" s="3" t="s">
        <v>202</v>
      </c>
      <c r="S37" s="10">
        <v>6.9437373470505421E-3</v>
      </c>
      <c r="T37" s="76">
        <v>0.17499999999999999</v>
      </c>
      <c r="U37" s="83">
        <f>T37*$N$4</f>
        <v>1575</v>
      </c>
      <c r="V37" s="3">
        <v>170</v>
      </c>
      <c r="W37" s="85">
        <f>U37/V37</f>
        <v>9.264705882352942</v>
      </c>
      <c r="X37" s="86">
        <v>6</v>
      </c>
      <c r="Y37" s="27">
        <f>W37-X37</f>
        <v>3.264705882352942</v>
      </c>
    </row>
    <row r="38" spans="5:25">
      <c r="R38" s="3" t="s">
        <v>218</v>
      </c>
      <c r="S38" s="10">
        <v>4.5655376904118628E-3</v>
      </c>
      <c r="T38" s="76">
        <v>0.17499999999999999</v>
      </c>
      <c r="U38" s="83">
        <f>T38*$N$4</f>
        <v>1575</v>
      </c>
      <c r="V38" s="3">
        <v>53.1</v>
      </c>
      <c r="W38" s="85">
        <f>U38/V38</f>
        <v>29.661016949152543</v>
      </c>
      <c r="X38" s="86">
        <v>19</v>
      </c>
      <c r="Y38" s="27">
        <f t="shared" ref="Y38:Y45" si="17">W38-X38</f>
        <v>10.661016949152543</v>
      </c>
    </row>
    <row r="39" spans="5:25">
      <c r="R39" s="3" t="s">
        <v>222</v>
      </c>
      <c r="S39" s="10">
        <v>4.6058561578087793E-3</v>
      </c>
      <c r="T39" s="76">
        <v>0.17499999999999999</v>
      </c>
      <c r="U39" s="83">
        <f t="shared" ref="U39:U45" si="18">T39*$N$4</f>
        <v>1575</v>
      </c>
      <c r="V39" s="3">
        <v>70</v>
      </c>
      <c r="W39" s="85">
        <f t="shared" ref="W39:W43" si="19">U39/V39</f>
        <v>22.5</v>
      </c>
      <c r="X39" s="86">
        <v>15</v>
      </c>
      <c r="Y39" s="27">
        <f t="shared" si="17"/>
        <v>7.5</v>
      </c>
    </row>
    <row r="40" spans="5:25">
      <c r="R40" s="3" t="s">
        <v>226</v>
      </c>
      <c r="S40" s="10">
        <v>4.0295501993861072E-3</v>
      </c>
      <c r="T40" s="76">
        <v>0.17499999999999999</v>
      </c>
      <c r="U40" s="83">
        <f t="shared" si="18"/>
        <v>1575</v>
      </c>
      <c r="V40" s="3">
        <v>43.31</v>
      </c>
      <c r="W40" s="85">
        <f>U40/V40</f>
        <v>36.365735395982448</v>
      </c>
      <c r="X40" s="86">
        <v>24</v>
      </c>
      <c r="Y40" s="27">
        <f t="shared" si="17"/>
        <v>12.365735395982448</v>
      </c>
    </row>
    <row r="41" spans="5:25">
      <c r="R41" s="3" t="s">
        <v>207</v>
      </c>
      <c r="S41" s="10">
        <v>2.8976175082942013E-3</v>
      </c>
      <c r="T41" s="76">
        <v>7.4999999999999997E-2</v>
      </c>
      <c r="U41" s="83">
        <f>T41*$N$4</f>
        <v>675</v>
      </c>
      <c r="V41" s="3">
        <v>85.68</v>
      </c>
      <c r="W41" s="85">
        <f t="shared" si="19"/>
        <v>7.8781512605042012</v>
      </c>
      <c r="X41" s="86">
        <v>6</v>
      </c>
      <c r="Y41" s="27">
        <f t="shared" si="17"/>
        <v>1.8781512605042012</v>
      </c>
    </row>
    <row r="42" spans="5:25">
      <c r="R42" s="3" t="s">
        <v>213</v>
      </c>
      <c r="S42" s="10">
        <v>3.3802607175204323E-3</v>
      </c>
      <c r="T42" s="76">
        <v>7.4999999999999997E-2</v>
      </c>
      <c r="U42" s="83">
        <f t="shared" si="18"/>
        <v>675</v>
      </c>
      <c r="V42" s="3">
        <v>126.99</v>
      </c>
      <c r="W42" s="85">
        <f t="shared" si="19"/>
        <v>5.3153791637136782</v>
      </c>
      <c r="X42" s="86">
        <v>4</v>
      </c>
      <c r="Y42" s="27">
        <f t="shared" si="17"/>
        <v>1.3153791637136782</v>
      </c>
    </row>
    <row r="43" spans="5:25">
      <c r="R43" s="3" t="s">
        <v>275</v>
      </c>
      <c r="S43" s="10">
        <v>4.964654056268324E-3</v>
      </c>
      <c r="T43" s="76">
        <v>7.4999999999999997E-2</v>
      </c>
      <c r="U43" s="83">
        <f t="shared" si="18"/>
        <v>675</v>
      </c>
      <c r="V43" s="3">
        <v>29.78</v>
      </c>
      <c r="W43" s="85">
        <f t="shared" si="19"/>
        <v>22.666218938885159</v>
      </c>
      <c r="X43" s="86">
        <v>14</v>
      </c>
      <c r="Y43" s="27">
        <f t="shared" si="17"/>
        <v>8.6662189388851587</v>
      </c>
    </row>
    <row r="44" spans="5:25">
      <c r="R44" s="3" t="s">
        <v>261</v>
      </c>
      <c r="S44" s="10">
        <v>1.1034540817286566E-3</v>
      </c>
      <c r="T44" s="76">
        <v>7.4999999999999997E-2</v>
      </c>
      <c r="U44" s="83">
        <f t="shared" si="18"/>
        <v>675</v>
      </c>
      <c r="V44" s="3">
        <v>54.4</v>
      </c>
      <c r="W44" s="85">
        <f>U44/V44</f>
        <v>12.408088235294118</v>
      </c>
      <c r="X44" s="86">
        <v>8</v>
      </c>
      <c r="Y44" s="27">
        <f t="shared" si="17"/>
        <v>4.4080882352941178</v>
      </c>
    </row>
    <row r="45" spans="5:25">
      <c r="R45" s="3"/>
      <c r="S45" s="10"/>
      <c r="T45" s="19">
        <v>0.99999999999999978</v>
      </c>
      <c r="U45" s="83">
        <f t="shared" si="18"/>
        <v>8999.9999999999982</v>
      </c>
      <c r="V45" s="3"/>
      <c r="W45" s="84"/>
      <c r="X45" s="84"/>
      <c r="Y45" s="27">
        <f t="shared" si="17"/>
        <v>0</v>
      </c>
    </row>
    <row r="47" spans="5:25">
      <c r="R47" t="s">
        <v>378</v>
      </c>
    </row>
    <row r="48" spans="5:25">
      <c r="R48" s="3" t="s">
        <v>370</v>
      </c>
      <c r="S48" s="3" t="s">
        <v>276</v>
      </c>
      <c r="T48" s="3" t="s">
        <v>295</v>
      </c>
      <c r="U48" s="83" t="s">
        <v>372</v>
      </c>
      <c r="V48" s="84" t="s">
        <v>379</v>
      </c>
      <c r="W48" s="84" t="s">
        <v>374</v>
      </c>
      <c r="X48" s="84" t="s">
        <v>376</v>
      </c>
      <c r="Y48" s="84" t="s">
        <v>377</v>
      </c>
    </row>
    <row r="49" spans="18:25">
      <c r="R49" s="3" t="s">
        <v>202</v>
      </c>
      <c r="S49" s="10">
        <v>6.9437373470505421E-3</v>
      </c>
      <c r="T49" s="76">
        <v>0.17499999999999999</v>
      </c>
      <c r="U49" s="83">
        <f>T49*$N$6</f>
        <v>2235.2154999999998</v>
      </c>
      <c r="V49" s="3">
        <v>168.73</v>
      </c>
      <c r="W49" s="85">
        <f>U49/V49</f>
        <v>13.2472915308481</v>
      </c>
      <c r="X49" s="86">
        <v>9.2647058823529402</v>
      </c>
      <c r="Y49" s="27">
        <f>W49-X49</f>
        <v>3.9825856484951601</v>
      </c>
    </row>
    <row r="50" spans="18:25">
      <c r="R50" s="3" t="s">
        <v>218</v>
      </c>
      <c r="S50" s="10">
        <v>4.5655376904118628E-3</v>
      </c>
      <c r="T50" s="76">
        <v>0.17499999999999999</v>
      </c>
      <c r="U50" s="83">
        <f t="shared" ref="U50:U57" si="20">T50*$N$6</f>
        <v>2235.2154999999998</v>
      </c>
      <c r="V50" s="3">
        <v>50.3</v>
      </c>
      <c r="W50" s="85">
        <f>U50/V50</f>
        <v>44.437683896620278</v>
      </c>
      <c r="X50" s="86">
        <v>29.661016949152543</v>
      </c>
      <c r="Y50" s="27">
        <f t="shared" ref="Y50:Y57" si="21">W50-X50</f>
        <v>14.776666947467735</v>
      </c>
    </row>
    <row r="51" spans="18:25">
      <c r="R51" s="3" t="s">
        <v>222</v>
      </c>
      <c r="S51" s="10">
        <v>4.6058561578087793E-3</v>
      </c>
      <c r="T51" s="76">
        <v>0.17499999999999999</v>
      </c>
      <c r="U51" s="83">
        <f t="shared" si="20"/>
        <v>2235.2154999999998</v>
      </c>
      <c r="V51" s="3">
        <v>67.959999999999994</v>
      </c>
      <c r="W51" s="85">
        <f t="shared" ref="W51:W55" si="22">U51/V51</f>
        <v>32.890163331371397</v>
      </c>
      <c r="X51" s="86">
        <v>22.5</v>
      </c>
      <c r="Y51" s="27">
        <f t="shared" si="21"/>
        <v>10.390163331371397</v>
      </c>
    </row>
    <row r="52" spans="18:25">
      <c r="R52" s="3" t="s">
        <v>226</v>
      </c>
      <c r="S52" s="10">
        <v>4.0295501993861072E-3</v>
      </c>
      <c r="T52" s="76">
        <v>0.17499999999999999</v>
      </c>
      <c r="U52" s="83">
        <f t="shared" si="20"/>
        <v>2235.2154999999998</v>
      </c>
      <c r="V52" s="3">
        <v>44.37</v>
      </c>
      <c r="W52" s="85">
        <f t="shared" si="22"/>
        <v>50.376729772368719</v>
      </c>
      <c r="X52" s="86">
        <v>36.365735395982448</v>
      </c>
      <c r="Y52" s="27">
        <f t="shared" si="21"/>
        <v>14.010994376386272</v>
      </c>
    </row>
    <row r="53" spans="18:25">
      <c r="R53" s="3" t="s">
        <v>207</v>
      </c>
      <c r="S53" s="10">
        <v>2.8976175082942013E-3</v>
      </c>
      <c r="T53" s="76">
        <v>7.4999999999999997E-2</v>
      </c>
      <c r="U53" s="83">
        <f t="shared" si="20"/>
        <v>957.94949999999994</v>
      </c>
      <c r="V53" s="3">
        <v>69.91</v>
      </c>
      <c r="W53" s="85">
        <f t="shared" si="22"/>
        <v>13.702610499213273</v>
      </c>
      <c r="X53" s="86">
        <v>7.8781512605042012</v>
      </c>
      <c r="Y53" s="27">
        <f t="shared" si="21"/>
        <v>5.8244592387090721</v>
      </c>
    </row>
    <row r="54" spans="18:25">
      <c r="R54" s="3" t="s">
        <v>213</v>
      </c>
      <c r="S54" s="10">
        <v>3.3802607175204323E-3</v>
      </c>
      <c r="T54" s="76">
        <v>7.4999999999999997E-2</v>
      </c>
      <c r="U54" s="83">
        <f t="shared" si="20"/>
        <v>957.94949999999994</v>
      </c>
      <c r="V54" s="3">
        <v>125.37</v>
      </c>
      <c r="W54" s="85">
        <f t="shared" si="22"/>
        <v>7.6409787030390035</v>
      </c>
      <c r="X54" s="86">
        <v>5.3153791637136782</v>
      </c>
      <c r="Y54" s="27">
        <f t="shared" si="21"/>
        <v>2.3255995393253253</v>
      </c>
    </row>
    <row r="55" spans="18:25">
      <c r="R55" s="3" t="s">
        <v>275</v>
      </c>
      <c r="S55" s="10">
        <v>4.964654056268324E-3</v>
      </c>
      <c r="T55" s="76">
        <v>7.4999999999999997E-2</v>
      </c>
      <c r="U55" s="83">
        <f t="shared" si="20"/>
        <v>957.94949999999994</v>
      </c>
      <c r="V55" s="3">
        <v>29.81</v>
      </c>
      <c r="W55" s="85">
        <f t="shared" si="22"/>
        <v>32.13517276081852</v>
      </c>
      <c r="X55" s="86">
        <v>22.666218938885159</v>
      </c>
      <c r="Y55" s="27">
        <f t="shared" si="21"/>
        <v>9.4689538219333613</v>
      </c>
    </row>
    <row r="56" spans="18:25">
      <c r="R56" s="3" t="s">
        <v>261</v>
      </c>
      <c r="S56" s="10">
        <v>1.1034540817286566E-3</v>
      </c>
      <c r="T56" s="76">
        <v>7.4999999999999997E-2</v>
      </c>
      <c r="U56" s="83">
        <f t="shared" si="20"/>
        <v>957.94949999999994</v>
      </c>
      <c r="V56" s="3">
        <v>54.04</v>
      </c>
      <c r="W56" s="85">
        <f>U56/V56</f>
        <v>17.726674685418207</v>
      </c>
      <c r="X56" s="86">
        <v>12.408088235294118</v>
      </c>
      <c r="Y56" s="27">
        <f t="shared" si="21"/>
        <v>5.3185864501240889</v>
      </c>
    </row>
    <row r="57" spans="18:25">
      <c r="R57" s="3"/>
      <c r="S57" s="10"/>
      <c r="T57" s="19">
        <v>0.99999999999999978</v>
      </c>
      <c r="U57" s="83">
        <f t="shared" si="20"/>
        <v>12772.659999999996</v>
      </c>
      <c r="V57" s="3"/>
      <c r="W57" s="84"/>
      <c r="X57" s="84"/>
      <c r="Y57" s="27">
        <f t="shared" si="21"/>
        <v>0</v>
      </c>
    </row>
    <row r="59" spans="18:25">
      <c r="R59" t="s">
        <v>378</v>
      </c>
      <c r="V59" s="16">
        <v>44166</v>
      </c>
      <c r="W59" t="s">
        <v>412</v>
      </c>
    </row>
    <row r="60" spans="18:25">
      <c r="R60" s="3" t="s">
        <v>370</v>
      </c>
      <c r="S60" s="3" t="s">
        <v>276</v>
      </c>
      <c r="T60" s="3" t="s">
        <v>295</v>
      </c>
      <c r="U60" s="83" t="s">
        <v>372</v>
      </c>
      <c r="V60" s="84" t="s">
        <v>379</v>
      </c>
      <c r="W60" s="84" t="s">
        <v>374</v>
      </c>
      <c r="X60" s="84" t="s">
        <v>376</v>
      </c>
      <c r="Y60" s="84" t="s">
        <v>377</v>
      </c>
    </row>
    <row r="61" spans="18:25">
      <c r="R61" s="3" t="s">
        <v>202</v>
      </c>
      <c r="S61" s="10">
        <v>6.9437373470505421E-3</v>
      </c>
      <c r="T61" s="76">
        <v>0.17499999999999999</v>
      </c>
      <c r="U61" s="83">
        <f>T61*$N$7</f>
        <v>2760.2154999999998</v>
      </c>
      <c r="V61" s="3">
        <v>186.7</v>
      </c>
      <c r="W61" s="85">
        <f>U61/V61</f>
        <v>14.784228709159079</v>
      </c>
      <c r="X61" s="86">
        <v>13.2472915308481</v>
      </c>
      <c r="Y61" s="27">
        <f>W61-X61</f>
        <v>1.5369371783109784</v>
      </c>
    </row>
    <row r="62" spans="18:25">
      <c r="R62" s="3" t="s">
        <v>218</v>
      </c>
      <c r="S62" s="10">
        <v>4.5655376904118628E-3</v>
      </c>
      <c r="T62" s="76">
        <v>0.17499999999999999</v>
      </c>
      <c r="U62" s="83">
        <f t="shared" ref="U62:U69" si="23">T62*$N$7</f>
        <v>2760.2154999999998</v>
      </c>
      <c r="V62" s="3">
        <v>57.72</v>
      </c>
      <c r="W62" s="85">
        <f>U62/V62</f>
        <v>47.820781358281359</v>
      </c>
      <c r="X62" s="86">
        <v>44.437683896620278</v>
      </c>
      <c r="Y62" s="27">
        <f t="shared" ref="Y62:Y69" si="24">W62-X62</f>
        <v>3.3830974616610803</v>
      </c>
    </row>
    <row r="63" spans="18:25">
      <c r="R63" s="3" t="s">
        <v>222</v>
      </c>
      <c r="S63" s="10">
        <v>4.6058561578087793E-3</v>
      </c>
      <c r="T63" s="76">
        <v>0.17499999999999999</v>
      </c>
      <c r="U63" s="83">
        <f t="shared" si="23"/>
        <v>2760.2154999999998</v>
      </c>
      <c r="V63" s="3">
        <v>75.36</v>
      </c>
      <c r="W63" s="85">
        <f t="shared" ref="W63:W67" si="25">U63/V63</f>
        <v>36.627063428874735</v>
      </c>
      <c r="X63" s="86">
        <v>32.890163331371397</v>
      </c>
      <c r="Y63" s="27">
        <f t="shared" si="24"/>
        <v>3.7369000975033373</v>
      </c>
    </row>
    <row r="64" spans="18:25">
      <c r="R64" s="3" t="s">
        <v>226</v>
      </c>
      <c r="S64" s="10">
        <v>4.0295501993861072E-3</v>
      </c>
      <c r="T64" s="76">
        <v>0.17499999999999999</v>
      </c>
      <c r="U64" s="83">
        <f t="shared" si="23"/>
        <v>2760.2154999999998</v>
      </c>
      <c r="V64" s="3">
        <v>47.56</v>
      </c>
      <c r="W64" s="85">
        <f t="shared" si="25"/>
        <v>58.036490748528166</v>
      </c>
      <c r="X64" s="86">
        <v>50.376729772368719</v>
      </c>
      <c r="Y64" s="27">
        <f t="shared" si="24"/>
        <v>7.659760976159447</v>
      </c>
    </row>
    <row r="65" spans="18:26">
      <c r="R65" s="3" t="s">
        <v>207</v>
      </c>
      <c r="S65" s="10">
        <v>2.8976175082942013E-3</v>
      </c>
      <c r="T65" s="76">
        <v>7.4999999999999997E-2</v>
      </c>
      <c r="U65" s="83">
        <f t="shared" si="23"/>
        <v>1182.9494999999999</v>
      </c>
      <c r="V65" s="3">
        <v>70.02</v>
      </c>
      <c r="W65" s="85">
        <f t="shared" si="25"/>
        <v>16.894451585261354</v>
      </c>
      <c r="X65" s="86">
        <v>13.702610499213273</v>
      </c>
      <c r="Y65" s="27">
        <f t="shared" si="24"/>
        <v>3.1918410860480808</v>
      </c>
    </row>
    <row r="66" spans="18:26">
      <c r="R66" s="3" t="s">
        <v>213</v>
      </c>
      <c r="S66" s="10">
        <v>3.3802607175204323E-3</v>
      </c>
      <c r="T66" s="76">
        <v>7.4999999999999997E-2</v>
      </c>
      <c r="U66" s="83">
        <f t="shared" si="23"/>
        <v>1182.9494999999999</v>
      </c>
      <c r="V66" s="3">
        <v>126.42</v>
      </c>
      <c r="W66" s="85">
        <f t="shared" si="25"/>
        <v>9.3572971048884668</v>
      </c>
      <c r="X66" s="86">
        <v>7.6409787030390035</v>
      </c>
      <c r="Y66" s="27">
        <f t="shared" si="24"/>
        <v>1.7163184018494633</v>
      </c>
    </row>
    <row r="67" spans="18:26">
      <c r="R67" s="3" t="s">
        <v>275</v>
      </c>
      <c r="S67" s="10">
        <v>4.964654056268324E-3</v>
      </c>
      <c r="T67" s="76">
        <v>7.4999999999999997E-2</v>
      </c>
      <c r="U67" s="83">
        <f t="shared" si="23"/>
        <v>1182.9494999999999</v>
      </c>
      <c r="V67" s="3">
        <v>30.54</v>
      </c>
      <c r="W67" s="85">
        <f t="shared" si="25"/>
        <v>38.734430255402749</v>
      </c>
      <c r="X67" s="86">
        <v>32.13517276081852</v>
      </c>
      <c r="Y67" s="27">
        <f t="shared" si="24"/>
        <v>6.5992574945842293</v>
      </c>
    </row>
    <row r="68" spans="18:26">
      <c r="R68" s="3" t="s">
        <v>261</v>
      </c>
      <c r="S68" s="10">
        <v>1.1034540817286566E-3</v>
      </c>
      <c r="T68" s="76">
        <v>7.4999999999999997E-2</v>
      </c>
      <c r="U68" s="83">
        <f t="shared" si="23"/>
        <v>1182.9494999999999</v>
      </c>
      <c r="V68" s="3">
        <v>56.66</v>
      </c>
      <c r="W68" s="85">
        <f>U68/V68</f>
        <v>20.878035651253089</v>
      </c>
      <c r="X68" s="86">
        <v>17.726674685418207</v>
      </c>
      <c r="Y68" s="27">
        <f t="shared" si="24"/>
        <v>3.1513609658348827</v>
      </c>
    </row>
    <row r="69" spans="18:26">
      <c r="R69" s="3"/>
      <c r="S69" s="10"/>
      <c r="T69" s="19">
        <v>0.99999999999999978</v>
      </c>
      <c r="U69" s="83">
        <f t="shared" si="23"/>
        <v>15772.659999999996</v>
      </c>
      <c r="V69" s="3"/>
      <c r="W69" s="84"/>
      <c r="X69" s="84"/>
      <c r="Y69" s="27">
        <f t="shared" si="24"/>
        <v>0</v>
      </c>
    </row>
    <row r="71" spans="18:26">
      <c r="R71" t="s">
        <v>378</v>
      </c>
      <c r="V71" s="16">
        <v>44197</v>
      </c>
      <c r="X71" t="s">
        <v>414</v>
      </c>
      <c r="Y71" t="s">
        <v>415</v>
      </c>
    </row>
    <row r="72" spans="18:26">
      <c r="R72" s="3" t="s">
        <v>370</v>
      </c>
      <c r="S72" s="3" t="s">
        <v>276</v>
      </c>
      <c r="T72" s="3" t="s">
        <v>295</v>
      </c>
      <c r="U72" s="83" t="s">
        <v>372</v>
      </c>
      <c r="V72" s="84" t="s">
        <v>379</v>
      </c>
      <c r="W72" s="84" t="s">
        <v>374</v>
      </c>
      <c r="X72" s="84" t="s">
        <v>376</v>
      </c>
      <c r="Y72" s="84" t="s">
        <v>377</v>
      </c>
      <c r="Z72" s="84" t="s">
        <v>417</v>
      </c>
    </row>
    <row r="73" spans="18:26">
      <c r="R73" s="3" t="s">
        <v>202</v>
      </c>
      <c r="S73" s="10">
        <v>6.9437373470505421E-3</v>
      </c>
      <c r="T73" s="76">
        <v>0.17499999999999999</v>
      </c>
      <c r="U73" s="83">
        <f>T73*$N$9</f>
        <v>3230.7660000000001</v>
      </c>
      <c r="V73" s="3">
        <v>193.61</v>
      </c>
      <c r="W73" s="85">
        <f>U73/V73</f>
        <v>16.686978978358557</v>
      </c>
      <c r="X73" s="86">
        <v>14</v>
      </c>
      <c r="Y73" s="27">
        <f>W73-X73</f>
        <v>2.6869789783585567</v>
      </c>
      <c r="Z73" s="27">
        <f>Y73*V73</f>
        <v>520.22600000000023</v>
      </c>
    </row>
    <row r="74" spans="18:26">
      <c r="R74" s="3" t="s">
        <v>218</v>
      </c>
      <c r="S74" s="10">
        <v>4.5655376904118628E-3</v>
      </c>
      <c r="T74" s="76">
        <v>0.17499999999999999</v>
      </c>
      <c r="U74" s="83">
        <f t="shared" ref="U74:U81" si="26">T74*$N$9</f>
        <v>3230.7660000000001</v>
      </c>
      <c r="V74" s="3">
        <v>60.29</v>
      </c>
      <c r="W74" s="85">
        <f>U74/V74</f>
        <v>53.587095704096868</v>
      </c>
      <c r="X74" s="86">
        <v>44</v>
      </c>
      <c r="Y74" s="27">
        <f t="shared" ref="Y74:Y80" si="27">W74-X74</f>
        <v>9.5870957040968676</v>
      </c>
      <c r="Z74" s="27">
        <f t="shared" ref="Z74:Z80" si="28">Y74*V74</f>
        <v>578.00600000000009</v>
      </c>
    </row>
    <row r="75" spans="18:26">
      <c r="R75" s="3" t="s">
        <v>222</v>
      </c>
      <c r="S75" s="10">
        <v>4.6058561578087793E-3</v>
      </c>
      <c r="T75" s="76">
        <v>0.17499999999999999</v>
      </c>
      <c r="U75" s="83">
        <f t="shared" si="26"/>
        <v>3230.7660000000001</v>
      </c>
      <c r="V75" s="3">
        <v>79.39</v>
      </c>
      <c r="W75" s="85">
        <f t="shared" ref="W75:W79" si="29">U75/V75</f>
        <v>40.694873409749341</v>
      </c>
      <c r="X75" s="86">
        <v>35</v>
      </c>
      <c r="Y75" s="27">
        <f t="shared" si="27"/>
        <v>5.6948734097493414</v>
      </c>
      <c r="Z75" s="27">
        <f t="shared" si="28"/>
        <v>452.11600000000021</v>
      </c>
    </row>
    <row r="76" spans="18:26">
      <c r="R76" s="3" t="s">
        <v>226</v>
      </c>
      <c r="S76" s="10">
        <v>4.0295501993861072E-3</v>
      </c>
      <c r="T76" s="76">
        <v>0.17499999999999999</v>
      </c>
      <c r="U76" s="83">
        <f t="shared" si="26"/>
        <v>3230.7660000000001</v>
      </c>
      <c r="V76" s="3">
        <v>50</v>
      </c>
      <c r="W76" s="85">
        <f t="shared" si="29"/>
        <v>64.615319999999997</v>
      </c>
      <c r="X76" s="86">
        <v>54</v>
      </c>
      <c r="Y76" s="27">
        <f t="shared" si="27"/>
        <v>10.615319999999997</v>
      </c>
      <c r="Z76" s="27">
        <f t="shared" si="28"/>
        <v>530.76599999999985</v>
      </c>
    </row>
    <row r="77" spans="18:26">
      <c r="R77" s="3" t="s">
        <v>207</v>
      </c>
      <c r="S77" s="10">
        <v>2.8976175082942013E-3</v>
      </c>
      <c r="T77" s="76">
        <v>7.4999999999999997E-2</v>
      </c>
      <c r="U77" s="83">
        <f t="shared" si="26"/>
        <v>1384.614</v>
      </c>
      <c r="V77" s="3">
        <v>69.42</v>
      </c>
      <c r="W77" s="85">
        <f t="shared" si="29"/>
        <v>19.945462402765774</v>
      </c>
      <c r="X77" s="86">
        <v>16</v>
      </c>
      <c r="Y77" s="27">
        <f t="shared" si="27"/>
        <v>3.9454624027657736</v>
      </c>
      <c r="Z77" s="27">
        <f t="shared" si="28"/>
        <v>273.89400000000001</v>
      </c>
    </row>
    <row r="78" spans="18:26">
      <c r="R78" s="3" t="s">
        <v>213</v>
      </c>
      <c r="S78" s="10">
        <v>3.3802607175204323E-3</v>
      </c>
      <c r="T78" s="76">
        <v>7.4999999999999997E-2</v>
      </c>
      <c r="U78" s="83">
        <f t="shared" si="26"/>
        <v>1384.614</v>
      </c>
      <c r="V78" s="3">
        <v>127.51</v>
      </c>
      <c r="W78" s="85">
        <f t="shared" si="29"/>
        <v>10.858865971296369</v>
      </c>
      <c r="X78" s="86">
        <v>9.3572971048884668</v>
      </c>
      <c r="Y78" s="27">
        <f t="shared" si="27"/>
        <v>1.5015688664079025</v>
      </c>
      <c r="Z78" s="27">
        <f t="shared" si="28"/>
        <v>191.46504615567167</v>
      </c>
    </row>
    <row r="79" spans="18:26">
      <c r="R79" s="3" t="s">
        <v>275</v>
      </c>
      <c r="S79" s="10">
        <v>4.964654056268324E-3</v>
      </c>
      <c r="T79" s="76">
        <v>7.4999999999999997E-2</v>
      </c>
      <c r="U79" s="83">
        <f t="shared" si="26"/>
        <v>1384.614</v>
      </c>
      <c r="V79" s="3">
        <v>31.26</v>
      </c>
      <c r="W79" s="85">
        <f t="shared" si="29"/>
        <v>44.293474088291745</v>
      </c>
      <c r="X79" s="86">
        <v>37</v>
      </c>
      <c r="Y79" s="27">
        <f t="shared" si="27"/>
        <v>7.2934740882917453</v>
      </c>
      <c r="Z79" s="27">
        <f t="shared" si="28"/>
        <v>227.99399999999997</v>
      </c>
    </row>
    <row r="80" spans="18:26">
      <c r="R80" s="3" t="s">
        <v>261</v>
      </c>
      <c r="S80" s="10">
        <v>1.1034540817286566E-3</v>
      </c>
      <c r="T80" s="76">
        <v>7.4999999999999997E-2</v>
      </c>
      <c r="U80" s="83">
        <f t="shared" si="26"/>
        <v>1384.614</v>
      </c>
      <c r="V80" s="3">
        <v>58.63</v>
      </c>
      <c r="W80" s="85">
        <f>U80/V80</f>
        <v>23.616135084427768</v>
      </c>
      <c r="X80" s="86">
        <v>19</v>
      </c>
      <c r="Y80" s="27">
        <f t="shared" si="27"/>
        <v>4.6161350844277678</v>
      </c>
      <c r="Z80" s="27">
        <f t="shared" si="28"/>
        <v>270.64400000000006</v>
      </c>
    </row>
    <row r="81" spans="18:26">
      <c r="R81" s="3"/>
      <c r="S81" s="10"/>
      <c r="T81" s="19">
        <v>0.99999999999999978</v>
      </c>
      <c r="U81" s="83">
        <f t="shared" si="26"/>
        <v>18461.519999999997</v>
      </c>
      <c r="V81" s="3"/>
      <c r="W81" s="84"/>
      <c r="X81" s="84"/>
      <c r="Y81" s="27">
        <f>W81-X81</f>
        <v>0</v>
      </c>
      <c r="Z81" s="27">
        <f>SUM(Z73:Z80)</f>
        <v>3045.1110461556727</v>
      </c>
    </row>
    <row r="85" spans="18:26">
      <c r="R85" t="s">
        <v>378</v>
      </c>
      <c r="X85" s="16">
        <v>44197</v>
      </c>
    </row>
    <row r="86" spans="18:26">
      <c r="R86" s="3" t="s">
        <v>370</v>
      </c>
      <c r="S86" s="3" t="s">
        <v>276</v>
      </c>
      <c r="T86" s="3" t="s">
        <v>295</v>
      </c>
      <c r="U86" s="83" t="s">
        <v>372</v>
      </c>
      <c r="V86" s="84" t="s">
        <v>418</v>
      </c>
      <c r="W86" s="83" t="s">
        <v>419</v>
      </c>
      <c r="X86" s="84" t="s">
        <v>379</v>
      </c>
      <c r="Y86" s="83" t="s">
        <v>377</v>
      </c>
      <c r="Z86" s="84" t="s">
        <v>417</v>
      </c>
    </row>
    <row r="87" spans="18:26">
      <c r="R87" s="3" t="s">
        <v>202</v>
      </c>
      <c r="S87" s="10">
        <v>6.9437373470505421E-3</v>
      </c>
      <c r="T87" s="76">
        <v>0.17499999999999999</v>
      </c>
      <c r="U87" s="90">
        <f>T87*$N$11</f>
        <v>3866.9522499999994</v>
      </c>
      <c r="V87" s="93">
        <v>3423.51</v>
      </c>
      <c r="W87" s="90">
        <f>U87-V87</f>
        <v>443.44224999999915</v>
      </c>
      <c r="X87" s="3">
        <v>200.72</v>
      </c>
      <c r="Y87" s="92">
        <f>W87/X87</f>
        <v>2.2092579214826582</v>
      </c>
      <c r="Z87" s="27">
        <f t="shared" ref="Z87:Z94" si="30">Y87*X87</f>
        <v>443.44224999999915</v>
      </c>
    </row>
    <row r="88" spans="18:26">
      <c r="R88" s="3" t="s">
        <v>218</v>
      </c>
      <c r="S88" s="10">
        <v>4.5655376904118628E-3</v>
      </c>
      <c r="T88" s="76">
        <v>0.17499999999999999</v>
      </c>
      <c r="U88" s="90">
        <f t="shared" ref="U88" si="31">T88*$N$11</f>
        <v>3866.9522499999994</v>
      </c>
      <c r="V88" s="93">
        <v>3307.36</v>
      </c>
      <c r="W88" s="90">
        <f t="shared" ref="W88:W94" si="32">U88-V88</f>
        <v>559.59224999999924</v>
      </c>
      <c r="X88" s="3">
        <v>60.94</v>
      </c>
      <c r="Y88" s="92">
        <f t="shared" ref="Y88" si="33">W88/X88</f>
        <v>9.1826755825401918</v>
      </c>
      <c r="Z88" s="27">
        <f t="shared" si="30"/>
        <v>559.59224999999924</v>
      </c>
    </row>
    <row r="89" spans="18:26">
      <c r="R89" s="3" t="s">
        <v>222</v>
      </c>
      <c r="S89" s="10">
        <v>4.6058561578087793E-3</v>
      </c>
      <c r="T89" s="76">
        <v>0.17499999999999999</v>
      </c>
      <c r="U89" s="90">
        <f>T89*$N$11</f>
        <v>3866.9522499999994</v>
      </c>
      <c r="V89" s="93">
        <v>3353.35</v>
      </c>
      <c r="W89" s="90">
        <f t="shared" si="32"/>
        <v>513.60224999999946</v>
      </c>
      <c r="X89" s="3">
        <v>81.14</v>
      </c>
      <c r="Y89" s="92">
        <f>W89/X89</f>
        <v>6.3298280749322089</v>
      </c>
      <c r="Z89" s="27">
        <f t="shared" si="30"/>
        <v>513.60224999999946</v>
      </c>
    </row>
    <row r="90" spans="18:26">
      <c r="R90" s="3" t="s">
        <v>226</v>
      </c>
      <c r="S90" s="10">
        <v>4.0295501993861072E-3</v>
      </c>
      <c r="T90" s="76">
        <v>0.17499999999999999</v>
      </c>
      <c r="U90" s="90">
        <f t="shared" ref="U90:U95" si="34">T90*$N$11</f>
        <v>3866.9522499999994</v>
      </c>
      <c r="V90" s="93">
        <v>3519.4</v>
      </c>
      <c r="W90" s="90">
        <f t="shared" si="32"/>
        <v>347.55224999999928</v>
      </c>
      <c r="X90" s="3">
        <v>53.81</v>
      </c>
      <c r="Y90" s="92">
        <f t="shared" ref="Y90:Y94" si="35">W90/X90</f>
        <v>6.4588784612525414</v>
      </c>
      <c r="Z90" s="27">
        <f t="shared" si="30"/>
        <v>347.55224999999928</v>
      </c>
    </row>
    <row r="91" spans="18:26">
      <c r="R91" s="3" t="s">
        <v>207</v>
      </c>
      <c r="S91" s="10">
        <v>2.8976175082942013E-3</v>
      </c>
      <c r="T91" s="76">
        <v>7.4999999999999997E-2</v>
      </c>
      <c r="U91" s="90">
        <f t="shared" si="34"/>
        <v>1657.2652499999999</v>
      </c>
      <c r="V91" s="93">
        <v>1389.17</v>
      </c>
      <c r="W91" s="90">
        <f t="shared" si="32"/>
        <v>268.09524999999985</v>
      </c>
      <c r="X91" s="3">
        <v>68.98</v>
      </c>
      <c r="Y91" s="92">
        <f t="shared" si="35"/>
        <v>3.8865649463612617</v>
      </c>
      <c r="Z91" s="27">
        <f t="shared" si="30"/>
        <v>268.09524999999985</v>
      </c>
    </row>
    <row r="92" spans="18:26">
      <c r="R92" s="3" t="s">
        <v>213</v>
      </c>
      <c r="S92" s="10">
        <v>3.3802607175204323E-3</v>
      </c>
      <c r="T92" s="76">
        <v>7.4999999999999997E-2</v>
      </c>
      <c r="U92" s="90">
        <f t="shared" si="34"/>
        <v>1657.2652499999999</v>
      </c>
      <c r="V92" s="93">
        <v>1408.27</v>
      </c>
      <c r="W92" s="90">
        <f t="shared" si="32"/>
        <v>248.99524999999994</v>
      </c>
      <c r="X92" s="3">
        <v>127.74</v>
      </c>
      <c r="Y92" s="92">
        <f t="shared" si="35"/>
        <v>1.949234773759198</v>
      </c>
      <c r="Z92" s="27">
        <f t="shared" si="30"/>
        <v>248.99524999999994</v>
      </c>
    </row>
    <row r="93" spans="18:26">
      <c r="R93" s="3" t="s">
        <v>275</v>
      </c>
      <c r="S93" s="10">
        <v>4.964654056268324E-3</v>
      </c>
      <c r="T93" s="76">
        <v>7.4999999999999997E-2</v>
      </c>
      <c r="U93" s="90">
        <f t="shared" si="34"/>
        <v>1657.2652499999999</v>
      </c>
      <c r="V93" s="93">
        <v>1347.84</v>
      </c>
      <c r="W93" s="90">
        <f t="shared" si="32"/>
        <v>309.42525000000001</v>
      </c>
      <c r="X93" s="3">
        <v>30.59</v>
      </c>
      <c r="Y93" s="92">
        <f t="shared" si="35"/>
        <v>10.115241909120629</v>
      </c>
      <c r="Z93" s="27">
        <f t="shared" si="30"/>
        <v>309.42525000000001</v>
      </c>
    </row>
    <row r="94" spans="18:26">
      <c r="R94" s="3" t="s">
        <v>261</v>
      </c>
      <c r="S94" s="10">
        <v>1.1034540817286566E-3</v>
      </c>
      <c r="T94" s="76">
        <v>7.4999999999999997E-2</v>
      </c>
      <c r="U94" s="90">
        <f t="shared" si="34"/>
        <v>1657.2652499999999</v>
      </c>
      <c r="V94" s="93">
        <v>1390.46</v>
      </c>
      <c r="W94" s="90">
        <f t="shared" si="32"/>
        <v>266.80524999999989</v>
      </c>
      <c r="X94" s="3">
        <v>57.74</v>
      </c>
      <c r="Y94" s="92">
        <f t="shared" si="35"/>
        <v>4.620804468306198</v>
      </c>
      <c r="Z94" s="27">
        <f t="shared" si="30"/>
        <v>266.80524999999989</v>
      </c>
    </row>
    <row r="95" spans="18:26">
      <c r="R95" s="3"/>
      <c r="S95" s="10"/>
      <c r="T95" s="19">
        <v>0.99999999999999978</v>
      </c>
      <c r="U95" s="90">
        <f t="shared" si="34"/>
        <v>22096.869999999995</v>
      </c>
      <c r="V95" s="93">
        <f>SUM(V87:V94)</f>
        <v>19139.36</v>
      </c>
      <c r="W95" s="90">
        <f>SUM(W87:W94)</f>
        <v>2957.509999999997</v>
      </c>
      <c r="X95" s="3"/>
      <c r="Y95" s="27"/>
      <c r="Z95" s="27">
        <f>SUM(Z87:Z94)</f>
        <v>2957.509999999997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0F5A9-AF46-AF41-83E2-B0A425F5E275}">
  <dimension ref="A1:E242"/>
  <sheetViews>
    <sheetView tabSelected="1" zoomScale="110" zoomScaleNormal="110" workbookViewId="0">
      <pane ySplit="11" topLeftCell="A12" activePane="bottomLeft" state="frozen"/>
      <selection pane="bottomLeft" activeCell="K11" sqref="K11"/>
    </sheetView>
  </sheetViews>
  <sheetFormatPr baseColWidth="10" defaultRowHeight="16"/>
  <cols>
    <col min="1" max="1" width="13" bestFit="1" customWidth="1"/>
    <col min="2" max="2" width="12.1640625" bestFit="1" customWidth="1"/>
    <col min="3" max="3" width="9.83203125" bestFit="1" customWidth="1"/>
    <col min="4" max="4" width="8.5" bestFit="1" customWidth="1"/>
    <col min="5" max="5" width="15.83203125" bestFit="1" customWidth="1"/>
  </cols>
  <sheetData>
    <row r="1" spans="1:5">
      <c r="A1" t="s">
        <v>0</v>
      </c>
    </row>
    <row r="2" spans="1:5">
      <c r="A2" t="s">
        <v>315</v>
      </c>
    </row>
    <row r="3" spans="1:5">
      <c r="A3" t="s">
        <v>316</v>
      </c>
      <c r="B3" t="s">
        <v>397</v>
      </c>
    </row>
    <row r="4" spans="1:5">
      <c r="A4" t="s">
        <v>398</v>
      </c>
    </row>
    <row r="5" spans="1:5">
      <c r="A5" t="s">
        <v>317</v>
      </c>
    </row>
    <row r="6" spans="1:5">
      <c r="A6" t="s">
        <v>318</v>
      </c>
    </row>
    <row r="7" spans="1:5">
      <c r="A7" t="s">
        <v>319</v>
      </c>
    </row>
    <row r="8" spans="1:5">
      <c r="A8" t="s">
        <v>399</v>
      </c>
    </row>
    <row r="9" spans="1:5">
      <c r="A9" t="s">
        <v>400</v>
      </c>
    </row>
    <row r="12" spans="1:5">
      <c r="A12" t="s">
        <v>311</v>
      </c>
      <c r="B12">
        <v>12</v>
      </c>
    </row>
    <row r="14" spans="1:5">
      <c r="A14" t="s">
        <v>312</v>
      </c>
      <c r="B14" t="s">
        <v>348</v>
      </c>
      <c r="C14" t="s">
        <v>313</v>
      </c>
      <c r="D14" t="s">
        <v>314</v>
      </c>
      <c r="E14" t="s">
        <v>428</v>
      </c>
    </row>
    <row r="15" spans="1:5">
      <c r="A15" s="16">
        <v>37043</v>
      </c>
      <c r="B15" s="17">
        <v>39.740375999999998</v>
      </c>
      <c r="C15">
        <v>0</v>
      </c>
      <c r="D15" t="str" cm="1">
        <f t="array" ref="D15">IF(Table1[[#This Row],[Months]]&lt;Holding_Period,"",INDEX(Table1[VTI Adj Closed],Table1[[#This Row],[Months]]-Holding_Period+1))</f>
        <v/>
      </c>
      <c r="E15" t="str">
        <f>IF(Table1[[#This Row],[Months]]&lt;Holding_Period,"",RATE(Holding_Period,0,-Table1[[#This Row],[Entry ]],Table1[[#This Row],[VTI Adj Closed]])*12)</f>
        <v/>
      </c>
    </row>
    <row r="16" spans="1:5">
      <c r="A16" s="16">
        <v>37073</v>
      </c>
      <c r="B16" s="17">
        <v>39.078197000000003</v>
      </c>
      <c r="C16">
        <f>C15+1</f>
        <v>1</v>
      </c>
      <c r="D16" t="str" cm="1">
        <f t="array" ref="D16">IF(Table1[[#This Row],[Months]]&lt;Holding_Period,"",INDEX(Table1[VTI Adj Closed],Table1[[#This Row],[Months]]-Holding_Period+1))</f>
        <v/>
      </c>
      <c r="E16" t="str">
        <f>IF(Table1[[#This Row],[Months]]&lt;Holding_Period,"",RATE(Holding_Period,0,-Table1[[#This Row],[Entry ]],Table1[[#This Row],[VTI Adj Closed]])*12)</f>
        <v/>
      </c>
    </row>
    <row r="17" spans="1:5">
      <c r="A17" s="16">
        <v>37104</v>
      </c>
      <c r="B17" s="17">
        <v>36.790047000000001</v>
      </c>
      <c r="C17">
        <f t="shared" ref="C17:C80" si="0">C16+1</f>
        <v>2</v>
      </c>
      <c r="D17" t="str" cm="1">
        <f t="array" ref="D17">IF(Table1[[#This Row],[Months]]&lt;Holding_Period,"",INDEX(Table1[VTI Adj Closed],Table1[[#This Row],[Months]]-Holding_Period+1))</f>
        <v/>
      </c>
      <c r="E17" t="str">
        <f>IF(Table1[[#This Row],[Months]]&lt;Holding_Period,"",RATE(Holding_Period,0,-Table1[[#This Row],[Entry ]],Table1[[#This Row],[VTI Adj Closed]])*12)</f>
        <v/>
      </c>
    </row>
    <row r="18" spans="1:5">
      <c r="A18" s="16">
        <v>37135</v>
      </c>
      <c r="B18" s="17">
        <v>33.475945000000003</v>
      </c>
      <c r="C18">
        <f t="shared" si="0"/>
        <v>3</v>
      </c>
      <c r="D18" t="str" cm="1">
        <f t="array" ref="D18">IF(Table1[[#This Row],[Months]]&lt;Holding_Period,"",INDEX(Table1[VTI Adj Closed],Table1[[#This Row],[Months]]-Holding_Period+1))</f>
        <v/>
      </c>
      <c r="E18" t="str">
        <f>IF(Table1[[#This Row],[Months]]&lt;Holding_Period,"",RATE(Holding_Period,0,-Table1[[#This Row],[Entry ]],Table1[[#This Row],[VTI Adj Closed]])*12)</f>
        <v/>
      </c>
    </row>
    <row r="19" spans="1:5">
      <c r="A19" s="16">
        <v>37165</v>
      </c>
      <c r="B19" s="17">
        <v>34.285431000000003</v>
      </c>
      <c r="C19">
        <f t="shared" si="0"/>
        <v>4</v>
      </c>
      <c r="D19" t="str" cm="1">
        <f t="array" ref="D19">IF(Table1[[#This Row],[Months]]&lt;Holding_Period,"",INDEX(Table1[VTI Adj Closed],Table1[[#This Row],[Months]]-Holding_Period+1))</f>
        <v/>
      </c>
      <c r="E19" t="str">
        <f>IF(Table1[[#This Row],[Months]]&lt;Holding_Period,"",RATE(Holding_Period,0,-Table1[[#This Row],[Entry ]],Table1[[#This Row],[VTI Adj Closed]])*12)</f>
        <v/>
      </c>
    </row>
    <row r="20" spans="1:5">
      <c r="A20" s="16">
        <v>37196</v>
      </c>
      <c r="B20" s="17">
        <v>36.896636999999998</v>
      </c>
      <c r="C20">
        <f t="shared" si="0"/>
        <v>5</v>
      </c>
      <c r="D20" t="str" cm="1">
        <f t="array" ref="D20">IF(Table1[[#This Row],[Months]]&lt;Holding_Period,"",INDEX(Table1[VTI Adj Closed],Table1[[#This Row],[Months]]-Holding_Period+1))</f>
        <v/>
      </c>
      <c r="E20" t="str">
        <f>IF(Table1[[#This Row],[Months]]&lt;Holding_Period,"",RATE(Holding_Period,0,-Table1[[#This Row],[Entry ]],Table1[[#This Row],[VTI Adj Closed]])*12)</f>
        <v/>
      </c>
    </row>
    <row r="21" spans="1:5">
      <c r="A21" s="16">
        <v>37226</v>
      </c>
      <c r="B21" s="17">
        <v>37.289383000000001</v>
      </c>
      <c r="C21">
        <f t="shared" si="0"/>
        <v>6</v>
      </c>
      <c r="D21" s="17" t="str" cm="1">
        <f t="array" ref="D21">IF(Table1[[#This Row],[Months]]&lt;Holding_Period,"",INDEX(Table1[VTI Adj Closed],Table1[[#This Row],[Months]]-Holding_Period+1))</f>
        <v/>
      </c>
      <c r="E21" s="64" t="str">
        <f>IF(Table1[[#This Row],[Months]]&lt;Holding_Period,"",RATE(Holding_Period,0,-Table1[[#This Row],[Entry ]],Table1[[#This Row],[VTI Adj Closed]])*12)</f>
        <v/>
      </c>
    </row>
    <row r="22" spans="1:5">
      <c r="A22" s="16">
        <v>37257</v>
      </c>
      <c r="B22" s="17">
        <v>37.101990000000001</v>
      </c>
      <c r="C22">
        <f t="shared" si="0"/>
        <v>7</v>
      </c>
      <c r="D22" s="17" t="str" cm="1">
        <f t="array" ref="D22">IF(Table1[[#This Row],[Months]]&lt;Holding_Period,"",INDEX(Table1[VTI Adj Closed],Table1[[#This Row],[Months]]-Holding_Period+1))</f>
        <v/>
      </c>
      <c r="E22" s="64" t="str">
        <f>IF(Table1[[#This Row],[Months]]&lt;Holding_Period,"",RATE(Holding_Period,0,-Table1[[#This Row],[Entry ]],Table1[[#This Row],[VTI Adj Closed]])*12)</f>
        <v/>
      </c>
    </row>
    <row r="23" spans="1:5">
      <c r="A23" s="16">
        <v>37288</v>
      </c>
      <c r="B23" s="17">
        <v>36.452067999999997</v>
      </c>
      <c r="C23">
        <f t="shared" si="0"/>
        <v>8</v>
      </c>
      <c r="D23" s="17" t="str" cm="1">
        <f t="array" ref="D23">IF(Table1[[#This Row],[Months]]&lt;Holding_Period,"",INDEX(Table1[VTI Adj Closed],Table1[[#This Row],[Months]]-Holding_Period+1))</f>
        <v/>
      </c>
      <c r="E23" s="64" t="str">
        <f>IF(Table1[[#This Row],[Months]]&lt;Holding_Period,"",RATE(Holding_Period,0,-Table1[[#This Row],[Entry ]],Table1[[#This Row],[VTI Adj Closed]])*12)</f>
        <v/>
      </c>
    </row>
    <row r="24" spans="1:5">
      <c r="A24" s="16">
        <v>37316</v>
      </c>
      <c r="B24" s="17">
        <v>37.684429000000002</v>
      </c>
      <c r="C24">
        <f t="shared" si="0"/>
        <v>9</v>
      </c>
      <c r="D24" s="17" t="str" cm="1">
        <f t="array" ref="D24">IF(Table1[[#This Row],[Months]]&lt;Holding_Period,"",INDEX(Table1[VTI Adj Closed],Table1[[#This Row],[Months]]-Holding_Period+1))</f>
        <v/>
      </c>
      <c r="E24" s="64" t="str">
        <f>IF(Table1[[#This Row],[Months]]&lt;Holding_Period,"",RATE(Holding_Period,0,-Table1[[#This Row],[Entry ]],Table1[[#This Row],[VTI Adj Closed]])*12)</f>
        <v/>
      </c>
    </row>
    <row r="25" spans="1:5">
      <c r="A25" s="16">
        <v>37347</v>
      </c>
      <c r="B25" s="17">
        <v>36.106022000000003</v>
      </c>
      <c r="C25">
        <f t="shared" si="0"/>
        <v>10</v>
      </c>
      <c r="D25" s="17" t="str" cm="1">
        <f t="array" ref="D25">IF(Table1[[#This Row],[Months]]&lt;Holding_Period,"",INDEX(Table1[VTI Adj Closed],Table1[[#This Row],[Months]]-Holding_Period+1))</f>
        <v/>
      </c>
      <c r="E25" s="64" t="str">
        <f>IF(Table1[[#This Row],[Months]]&lt;Holding_Period,"",RATE(Holding_Period,0,-Table1[[#This Row],[Entry ]],Table1[[#This Row],[VTI Adj Closed]])*12)</f>
        <v/>
      </c>
    </row>
    <row r="26" spans="1:5">
      <c r="A26" s="16">
        <v>37377</v>
      </c>
      <c r="B26" s="17">
        <v>35.596710000000002</v>
      </c>
      <c r="C26">
        <f t="shared" si="0"/>
        <v>11</v>
      </c>
      <c r="D26" s="17" t="str" cm="1">
        <f t="array" ref="D26">IF(Table1[[#This Row],[Months]]&lt;Holding_Period,"",INDEX(Table1[VTI Adj Closed],Table1[[#This Row],[Months]]-Holding_Period+1))</f>
        <v/>
      </c>
      <c r="E26" s="64" t="str">
        <f>IF(Table1[[#This Row],[Months]]&lt;Holding_Period,"",RATE(Holding_Period,0,-Table1[[#This Row],[Entry ]],Table1[[#This Row],[VTI Adj Closed]])*12)</f>
        <v/>
      </c>
    </row>
    <row r="27" spans="1:5">
      <c r="A27" s="16">
        <v>37408</v>
      </c>
      <c r="B27" s="17">
        <v>33.050266000000001</v>
      </c>
      <c r="C27">
        <f t="shared" si="0"/>
        <v>12</v>
      </c>
      <c r="D27" s="17" cm="1">
        <f t="array" ref="D27">IF(Table1[[#This Row],[Months]]&lt;Holding_Period,"",INDEX(Table1[VTI Adj Closed],Table1[[#This Row],[Months]]-Holding_Period+1))</f>
        <v>39.740375999999998</v>
      </c>
      <c r="E27" s="64">
        <f>IF(Table1[[#This Row],[Months]]&lt;Holding_Period,"",RATE(Holding_Period,0,-Table1[[#This Row],[Entry ]],Table1[[#This Row],[VTI Adj Closed]])*12)</f>
        <v>-0.18292945058368201</v>
      </c>
    </row>
    <row r="28" spans="1:5">
      <c r="A28" s="16">
        <v>37438</v>
      </c>
      <c r="B28" s="17">
        <v>30.378630000000001</v>
      </c>
      <c r="C28">
        <f t="shared" si="0"/>
        <v>13</v>
      </c>
      <c r="D28" s="17" cm="1">
        <f t="array" ref="D28">IF(Table1[[#This Row],[Months]]&lt;Holding_Period,"",INDEX(Table1[VTI Adj Closed],Table1[[#This Row],[Months]]-Holding_Period+1))</f>
        <v>39.078197000000003</v>
      </c>
      <c r="E28" s="64">
        <f>IF(Table1[[#This Row],[Months]]&lt;Holding_Period,"",RATE(Holding_Period,0,-Table1[[#This Row],[Entry ]],Table1[[#This Row],[VTI Adj Closed]])*12)</f>
        <v>-0.24920134387662574</v>
      </c>
    </row>
    <row r="29" spans="1:5">
      <c r="A29" s="16">
        <v>37469</v>
      </c>
      <c r="B29" s="17">
        <v>30.610793999999999</v>
      </c>
      <c r="C29">
        <f t="shared" si="0"/>
        <v>14</v>
      </c>
      <c r="D29" s="17" cm="1">
        <f t="array" ref="D29">IF(Table1[[#This Row],[Months]]&lt;Holding_Period,"",INDEX(Table1[VTI Adj Closed],Table1[[#This Row],[Months]]-Holding_Period+1))</f>
        <v>36.790047000000001</v>
      </c>
      <c r="E29" s="64">
        <f>IF(Table1[[#This Row],[Months]]&lt;Holding_Period,"",RATE(Holding_Period,0,-Table1[[#This Row],[Entry ]],Table1[[#This Row],[VTI Adj Closed]])*12)</f>
        <v>-0.18247307722017198</v>
      </c>
    </row>
    <row r="30" spans="1:5">
      <c r="A30" s="16">
        <v>37500</v>
      </c>
      <c r="B30" s="17">
        <v>27.410774</v>
      </c>
      <c r="C30">
        <f t="shared" si="0"/>
        <v>15</v>
      </c>
      <c r="D30" s="17" cm="1">
        <f t="array" ref="D30">IF(Table1[[#This Row],[Months]]&lt;Holding_Period,"",INDEX(Table1[VTI Adj Closed],Table1[[#This Row],[Months]]-Holding_Period+1))</f>
        <v>33.475945000000003</v>
      </c>
      <c r="E30" s="64">
        <f>IF(Table1[[#This Row],[Months]]&lt;Holding_Period,"",RATE(Holding_Period,0,-Table1[[#This Row],[Entry ]],Table1[[#This Row],[VTI Adj Closed]])*12)</f>
        <v>-0.19823532902656646</v>
      </c>
    </row>
    <row r="31" spans="1:5">
      <c r="A31" s="16">
        <v>37530</v>
      </c>
      <c r="B31" s="17">
        <v>29.578098000000001</v>
      </c>
      <c r="C31">
        <f t="shared" si="0"/>
        <v>16</v>
      </c>
      <c r="D31" s="17" cm="1">
        <f t="array" ref="D31">IF(Table1[[#This Row],[Months]]&lt;Holding_Period,"",INDEX(Table1[VTI Adj Closed],Table1[[#This Row],[Months]]-Holding_Period+1))</f>
        <v>34.285431000000003</v>
      </c>
      <c r="E31" s="64">
        <f>IF(Table1[[#This Row],[Months]]&lt;Holding_Period,"",RATE(Holding_Period,0,-Table1[[#This Row],[Entry ]],Table1[[#This Row],[VTI Adj Closed]])*12)</f>
        <v>-0.14678127103480268</v>
      </c>
    </row>
    <row r="32" spans="1:5">
      <c r="A32" s="16">
        <v>37561</v>
      </c>
      <c r="B32" s="17">
        <v>31.352774</v>
      </c>
      <c r="C32">
        <f t="shared" si="0"/>
        <v>17</v>
      </c>
      <c r="D32" s="17" cm="1">
        <f t="array" ref="D32">IF(Table1[[#This Row],[Months]]&lt;Holding_Period,"",INDEX(Table1[VTI Adj Closed],Table1[[#This Row],[Months]]-Holding_Period+1))</f>
        <v>36.896636999999998</v>
      </c>
      <c r="E32" s="64">
        <f>IF(Table1[[#This Row],[Months]]&lt;Holding_Period,"",RATE(Holding_Period,0,-Table1[[#This Row],[Entry ]],Table1[[#This Row],[VTI Adj Closed]])*12)</f>
        <v>-0.16171807308354647</v>
      </c>
    </row>
    <row r="33" spans="1:5">
      <c r="A33" s="16">
        <v>37591</v>
      </c>
      <c r="B33" s="17">
        <v>29.62471</v>
      </c>
      <c r="C33">
        <f t="shared" si="0"/>
        <v>18</v>
      </c>
      <c r="D33" s="17" cm="1">
        <f t="array" ref="D33">IF(Table1[[#This Row],[Months]]&lt;Holding_Period,"",INDEX(Table1[VTI Adj Closed],Table1[[#This Row],[Months]]-Holding_Period+1))</f>
        <v>37.289383000000001</v>
      </c>
      <c r="E33" s="64">
        <f>IF(Table1[[#This Row],[Months]]&lt;Holding_Period,"",RATE(Holding_Period,0,-Table1[[#This Row],[Entry ]],Table1[[#This Row],[VTI Adj Closed]])*12)</f>
        <v>-0.22790779023369723</v>
      </c>
    </row>
    <row r="34" spans="1:5">
      <c r="A34" s="16">
        <v>37622</v>
      </c>
      <c r="B34" s="17">
        <v>28.938614000000001</v>
      </c>
      <c r="C34">
        <f t="shared" si="0"/>
        <v>19</v>
      </c>
      <c r="D34" s="17" cm="1">
        <f t="array" ref="D34">IF(Table1[[#This Row],[Months]]&lt;Holding_Period,"",INDEX(Table1[VTI Adj Closed],Table1[[#This Row],[Months]]-Holding_Period+1))</f>
        <v>37.101990000000001</v>
      </c>
      <c r="E34" s="64">
        <f>IF(Table1[[#This Row],[Months]]&lt;Holding_Period,"",RATE(Holding_Period,0,-Table1[[#This Row],[Entry ]],Table1[[#This Row],[VTI Adj Closed]])*12)</f>
        <v>-0.24593856555308741</v>
      </c>
    </row>
    <row r="35" spans="1:5">
      <c r="A35" s="16">
        <v>37653</v>
      </c>
      <c r="B35" s="17">
        <v>28.491968</v>
      </c>
      <c r="C35">
        <f t="shared" si="0"/>
        <v>20</v>
      </c>
      <c r="D35" s="17" cm="1">
        <f t="array" ref="D35">IF(Table1[[#This Row],[Months]]&lt;Holding_Period,"",INDEX(Table1[VTI Adj Closed],Table1[[#This Row],[Months]]-Holding_Period+1))</f>
        <v>36.452067999999997</v>
      </c>
      <c r="E35" s="64">
        <f>IF(Table1[[#This Row],[Months]]&lt;Holding_Period,"",RATE(Holding_Period,0,-Table1[[#This Row],[Entry ]],Table1[[#This Row],[VTI Adj Closed]])*12)</f>
        <v>-0.24386397673827309</v>
      </c>
    </row>
    <row r="36" spans="1:5">
      <c r="A36" s="16">
        <v>37681</v>
      </c>
      <c r="B36" s="17">
        <v>28.600038999999999</v>
      </c>
      <c r="C36">
        <f t="shared" si="0"/>
        <v>21</v>
      </c>
      <c r="D36" s="17" cm="1">
        <f t="array" ref="D36">IF(Table1[[#This Row],[Months]]&lt;Holding_Period,"",INDEX(Table1[VTI Adj Closed],Table1[[#This Row],[Months]]-Holding_Period+1))</f>
        <v>37.684429000000002</v>
      </c>
      <c r="E36" s="64">
        <f>IF(Table1[[#This Row],[Months]]&lt;Holding_Period,"",RATE(Holding_Period,0,-Table1[[#This Row],[Entry ]],Table1[[#This Row],[VTI Adj Closed]])*12)</f>
        <v>-0.27269276039352885</v>
      </c>
    </row>
    <row r="37" spans="1:5">
      <c r="A37" s="16">
        <v>37712</v>
      </c>
      <c r="B37" s="17">
        <v>31.179065999999999</v>
      </c>
      <c r="C37">
        <f t="shared" si="0"/>
        <v>22</v>
      </c>
      <c r="D37" s="17" cm="1">
        <f t="array" ref="D37">IF(Table1[[#This Row],[Months]]&lt;Holding_Period,"",INDEX(Table1[VTI Adj Closed],Table1[[#This Row],[Months]]-Holding_Period+1))</f>
        <v>36.106022000000003</v>
      </c>
      <c r="E37" s="64">
        <f>IF(Table1[[#This Row],[Months]]&lt;Holding_Period,"",RATE(Holding_Period,0,-Table1[[#This Row],[Entry ]],Table1[[#This Row],[VTI Adj Closed]])*12)</f>
        <v>-0.14581954187299073</v>
      </c>
    </row>
    <row r="38" spans="1:5">
      <c r="A38" s="16">
        <v>37742</v>
      </c>
      <c r="B38" s="17">
        <v>32.997604000000003</v>
      </c>
      <c r="C38">
        <f t="shared" si="0"/>
        <v>23</v>
      </c>
      <c r="D38" s="17" cm="1">
        <f t="array" ref="D38">IF(Table1[[#This Row],[Months]]&lt;Holding_Period,"",INDEX(Table1[VTI Adj Closed],Table1[[#This Row],[Months]]-Holding_Period+1))</f>
        <v>35.596710000000002</v>
      </c>
      <c r="E38" s="64">
        <f>IF(Table1[[#This Row],[Months]]&lt;Holding_Period,"",RATE(Holding_Period,0,-Table1[[#This Row],[Entry ]],Table1[[#This Row],[VTI Adj Closed]])*12)</f>
        <v>-7.55792516666456E-2</v>
      </c>
    </row>
    <row r="39" spans="1:5">
      <c r="A39" s="16">
        <v>37773</v>
      </c>
      <c r="B39" s="17">
        <v>33.424232000000003</v>
      </c>
      <c r="C39">
        <f t="shared" si="0"/>
        <v>24</v>
      </c>
      <c r="D39" s="17" cm="1">
        <f t="array" ref="D39">IF(Table1[[#This Row],[Months]]&lt;Holding_Period,"",INDEX(Table1[VTI Adj Closed],Table1[[#This Row],[Months]]-Holding_Period+1))</f>
        <v>33.050266000000001</v>
      </c>
      <c r="E39" s="64">
        <f>IF(Table1[[#This Row],[Months]]&lt;Holding_Period,"",RATE(Holding_Period,0,-Table1[[#This Row],[Entry ]],Table1[[#This Row],[VTI Adj Closed]])*12)</f>
        <v>1.1256807756676254E-2</v>
      </c>
    </row>
    <row r="40" spans="1:5">
      <c r="A40" s="16">
        <v>37803</v>
      </c>
      <c r="B40" s="17">
        <v>34.310676999999998</v>
      </c>
      <c r="C40">
        <f t="shared" si="0"/>
        <v>25</v>
      </c>
      <c r="D40" s="17" cm="1">
        <f t="array" ref="D40">IF(Table1[[#This Row],[Months]]&lt;Holding_Period,"",INDEX(Table1[VTI Adj Closed],Table1[[#This Row],[Months]]-Holding_Period+1))</f>
        <v>30.378630000000001</v>
      </c>
      <c r="E40" s="64">
        <f>IF(Table1[[#This Row],[Months]]&lt;Holding_Period,"",RATE(Holding_Period,0,-Table1[[#This Row],[Entry ]],Table1[[#This Row],[VTI Adj Closed]])*12)</f>
        <v>0.12233657497845345</v>
      </c>
    </row>
    <row r="41" spans="1:5">
      <c r="A41" s="16">
        <v>37834</v>
      </c>
      <c r="B41" s="17">
        <v>35.130375000000001</v>
      </c>
      <c r="C41">
        <f t="shared" si="0"/>
        <v>26</v>
      </c>
      <c r="D41" s="17" cm="1">
        <f t="array" ref="D41">IF(Table1[[#This Row],[Months]]&lt;Holding_Period,"",INDEX(Table1[VTI Adj Closed],Table1[[#This Row],[Months]]-Holding_Period+1))</f>
        <v>30.610793999999999</v>
      </c>
      <c r="E41" s="64">
        <f>IF(Table1[[#This Row],[Months]]&lt;Holding_Period,"",RATE(Holding_Period,0,-Table1[[#This Row],[Entry ]],Table1[[#This Row],[VTI Adj Closed]])*12)</f>
        <v>0.13850668861994561</v>
      </c>
    </row>
    <row r="42" spans="1:5">
      <c r="A42" s="16">
        <v>37865</v>
      </c>
      <c r="B42" s="17">
        <v>34.637093</v>
      </c>
      <c r="C42">
        <f t="shared" si="0"/>
        <v>27</v>
      </c>
      <c r="D42" s="17" cm="1">
        <f t="array" ref="D42">IF(Table1[[#This Row],[Months]]&lt;Holding_Period,"",INDEX(Table1[VTI Adj Closed],Table1[[#This Row],[Months]]-Holding_Period+1))</f>
        <v>27.410774</v>
      </c>
      <c r="E42" s="64">
        <f>IF(Table1[[#This Row],[Months]]&lt;Holding_Period,"",RATE(Holding_Period,0,-Table1[[#This Row],[Entry ]],Table1[[#This Row],[VTI Adj Closed]])*12)</f>
        <v>0.23628519802955145</v>
      </c>
    </row>
    <row r="43" spans="1:5">
      <c r="A43" s="16">
        <v>37895</v>
      </c>
      <c r="B43" s="17">
        <v>36.864223000000003</v>
      </c>
      <c r="C43">
        <f t="shared" si="0"/>
        <v>28</v>
      </c>
      <c r="D43" s="17" cm="1">
        <f t="array" ref="D43">IF(Table1[[#This Row],[Months]]&lt;Holding_Period,"",INDEX(Table1[VTI Adj Closed],Table1[[#This Row],[Months]]-Holding_Period+1))</f>
        <v>29.578098000000001</v>
      </c>
      <c r="E43" s="64">
        <f>IF(Table1[[#This Row],[Months]]&lt;Holding_Period,"",RATE(Holding_Period,0,-Table1[[#This Row],[Entry ]],Table1[[#This Row],[VTI Adj Closed]])*12)</f>
        <v>0.22224024521246089</v>
      </c>
    </row>
    <row r="44" spans="1:5">
      <c r="A44" s="16">
        <v>37926</v>
      </c>
      <c r="B44" s="17">
        <v>37.417465</v>
      </c>
      <c r="C44">
        <f t="shared" si="0"/>
        <v>29</v>
      </c>
      <c r="D44" s="17" cm="1">
        <f t="array" ref="D44">IF(Table1[[#This Row],[Months]]&lt;Holding_Period,"",INDEX(Table1[VTI Adj Closed],Table1[[#This Row],[Months]]-Holding_Period+1))</f>
        <v>31.352774</v>
      </c>
      <c r="E44" s="64">
        <f>IF(Table1[[#This Row],[Months]]&lt;Holding_Period,"",RATE(Holding_Period,0,-Table1[[#This Row],[Entry ]],Table1[[#This Row],[VTI Adj Closed]])*12)</f>
        <v>0.17814418962804673</v>
      </c>
    </row>
    <row r="45" spans="1:5">
      <c r="A45" s="16">
        <v>37956</v>
      </c>
      <c r="B45" s="17">
        <v>38.749637999999997</v>
      </c>
      <c r="C45">
        <f t="shared" si="0"/>
        <v>30</v>
      </c>
      <c r="D45" s="17" cm="1">
        <f t="array" ref="D45">IF(Table1[[#This Row],[Months]]&lt;Holding_Period,"",INDEX(Table1[VTI Adj Closed],Table1[[#This Row],[Months]]-Holding_Period+1))</f>
        <v>29.62471</v>
      </c>
      <c r="E45" s="64">
        <f>IF(Table1[[#This Row],[Months]]&lt;Holding_Period,"",RATE(Holding_Period,0,-Table1[[#This Row],[Entry ]],Table1[[#This Row],[VTI Adj Closed]])*12)</f>
        <v>0.27153926193113637</v>
      </c>
    </row>
    <row r="46" spans="1:5">
      <c r="A46" s="16">
        <v>37987</v>
      </c>
      <c r="B46" s="17">
        <v>39.929859</v>
      </c>
      <c r="C46">
        <f t="shared" si="0"/>
        <v>31</v>
      </c>
      <c r="D46" s="17" cm="1">
        <f t="array" ref="D46">IF(Table1[[#This Row],[Months]]&lt;Holding_Period,"",INDEX(Table1[VTI Adj Closed],Table1[[#This Row],[Months]]-Holding_Period+1))</f>
        <v>28.938614000000001</v>
      </c>
      <c r="E46" s="64">
        <f>IF(Table1[[#This Row],[Months]]&lt;Holding_Period,"",RATE(Holding_Period,0,-Table1[[#This Row],[Entry ]],Table1[[#This Row],[VTI Adj Closed]])*12)</f>
        <v>0.32630520478199415</v>
      </c>
    </row>
    <row r="47" spans="1:5">
      <c r="A47" s="16">
        <v>38018</v>
      </c>
      <c r="B47" s="17">
        <v>40.489082000000003</v>
      </c>
      <c r="C47">
        <f t="shared" si="0"/>
        <v>32</v>
      </c>
      <c r="D47" s="17" cm="1">
        <f t="array" ref="D47">IF(Table1[[#This Row],[Months]]&lt;Holding_Period,"",INDEX(Table1[VTI Adj Closed],Table1[[#This Row],[Months]]-Holding_Period+1))</f>
        <v>28.491968</v>
      </c>
      <c r="E47" s="64">
        <f>IF(Table1[[#This Row],[Months]]&lt;Holding_Period,"",RATE(Holding_Period,0,-Table1[[#This Row],[Entry ]],Table1[[#This Row],[VTI Adj Closed]])*12)</f>
        <v>0.35660610901668044</v>
      </c>
    </row>
    <row r="48" spans="1:5">
      <c r="A48" s="16">
        <v>38047</v>
      </c>
      <c r="B48" s="17">
        <v>39.944465999999998</v>
      </c>
      <c r="C48">
        <f t="shared" si="0"/>
        <v>33</v>
      </c>
      <c r="D48" s="17" cm="1">
        <f t="array" ref="D48">IF(Table1[[#This Row],[Months]]&lt;Holding_Period,"",INDEX(Table1[VTI Adj Closed],Table1[[#This Row],[Months]]-Holding_Period+1))</f>
        <v>28.600038999999999</v>
      </c>
      <c r="E48" s="64">
        <f>IF(Table1[[#This Row],[Months]]&lt;Holding_Period,"",RATE(Holding_Period,0,-Table1[[#This Row],[Entry ]],Table1[[#This Row],[VTI Adj Closed]])*12)</f>
        <v>0.33877596739799709</v>
      </c>
    </row>
    <row r="49" spans="1:5">
      <c r="A49" s="16">
        <v>38078</v>
      </c>
      <c r="B49" s="17">
        <v>39.183506000000001</v>
      </c>
      <c r="C49">
        <f t="shared" si="0"/>
        <v>34</v>
      </c>
      <c r="D49" s="17" cm="1">
        <f t="array" ref="D49">IF(Table1[[#This Row],[Months]]&lt;Holding_Period,"",INDEX(Table1[VTI Adj Closed],Table1[[#This Row],[Months]]-Holding_Period+1))</f>
        <v>31.179065999999999</v>
      </c>
      <c r="E49" s="64">
        <f>IF(Table1[[#This Row],[Months]]&lt;Holding_Period,"",RATE(Holding_Period,0,-Table1[[#This Row],[Entry ]],Table1[[#This Row],[VTI Adj Closed]])*12)</f>
        <v>0.23069854244147558</v>
      </c>
    </row>
    <row r="50" spans="1:5">
      <c r="A50" s="16">
        <v>38108</v>
      </c>
      <c r="B50" s="17">
        <v>39.751911</v>
      </c>
      <c r="C50">
        <f t="shared" si="0"/>
        <v>35</v>
      </c>
      <c r="D50" s="17" cm="1">
        <f t="array" ref="D50">IF(Table1[[#This Row],[Months]]&lt;Holding_Period,"",INDEX(Table1[VTI Adj Closed],Table1[[#This Row],[Months]]-Holding_Period+1))</f>
        <v>32.997604000000003</v>
      </c>
      <c r="E50" s="64">
        <f>IF(Table1[[#This Row],[Months]]&lt;Holding_Period,"",RATE(Holding_Period,0,-Table1[[#This Row],[Entry ]],Table1[[#This Row],[VTI Adj Closed]])*12)</f>
        <v>0.18767542429330752</v>
      </c>
    </row>
    <row r="51" spans="1:5">
      <c r="A51" s="16">
        <v>38139</v>
      </c>
      <c r="B51" s="17">
        <v>40.419322999999999</v>
      </c>
      <c r="C51">
        <f t="shared" si="0"/>
        <v>36</v>
      </c>
      <c r="D51" s="17" cm="1">
        <f t="array" ref="D51">IF(Table1[[#This Row],[Months]]&lt;Holding_Period,"",INDEX(Table1[VTI Adj Closed],Table1[[#This Row],[Months]]-Holding_Period+1))</f>
        <v>33.424232000000003</v>
      </c>
      <c r="E51" s="64">
        <f>IF(Table1[[#This Row],[Months]]&lt;Holding_Period,"",RATE(Holding_Period,0,-Table1[[#This Row],[Entry ]],Table1[[#This Row],[VTI Adj Closed]])*12)</f>
        <v>0.19153938164739942</v>
      </c>
    </row>
    <row r="52" spans="1:5">
      <c r="A52" s="16">
        <v>38169</v>
      </c>
      <c r="B52" s="17">
        <v>39.116610999999999</v>
      </c>
      <c r="C52">
        <f t="shared" si="0"/>
        <v>37</v>
      </c>
      <c r="D52" s="17" cm="1">
        <f t="array" ref="D52">IF(Table1[[#This Row],[Months]]&lt;Holding_Period,"",INDEX(Table1[VTI Adj Closed],Table1[[#This Row],[Months]]-Holding_Period+1))</f>
        <v>34.310676999999998</v>
      </c>
      <c r="E52" s="64">
        <f>IF(Table1[[#This Row],[Months]]&lt;Holding_Period,"",RATE(Holding_Period,0,-Table1[[#This Row],[Entry ]],Table1[[#This Row],[VTI Adj Closed]])*12)</f>
        <v>0.13180926779861854</v>
      </c>
    </row>
    <row r="53" spans="1:5">
      <c r="A53" s="16">
        <v>38200</v>
      </c>
      <c r="B53" s="17">
        <v>39.138686999999997</v>
      </c>
      <c r="C53">
        <f t="shared" si="0"/>
        <v>38</v>
      </c>
      <c r="D53" s="17" cm="1">
        <f t="array" ref="D53">IF(Table1[[#This Row],[Months]]&lt;Holding_Period,"",INDEX(Table1[VTI Adj Closed],Table1[[#This Row],[Months]]-Holding_Period+1))</f>
        <v>35.130375000000001</v>
      </c>
      <c r="E53" s="64">
        <f>IF(Table1[[#This Row],[Months]]&lt;Holding_Period,"",RATE(Holding_Period,0,-Table1[[#This Row],[Entry ]],Table1[[#This Row],[VTI Adj Closed]])*12)</f>
        <v>0.10853314498370517</v>
      </c>
    </row>
    <row r="54" spans="1:5">
      <c r="A54" s="16">
        <v>38231</v>
      </c>
      <c r="B54" s="17">
        <v>39.653877000000001</v>
      </c>
      <c r="C54">
        <f t="shared" si="0"/>
        <v>39</v>
      </c>
      <c r="D54" s="17" cm="1">
        <f t="array" ref="D54">IF(Table1[[#This Row],[Months]]&lt;Holding_Period,"",INDEX(Table1[VTI Adj Closed],Table1[[#This Row],[Months]]-Holding_Period+1))</f>
        <v>34.637093</v>
      </c>
      <c r="E54" s="64">
        <f>IF(Table1[[#This Row],[Months]]&lt;Holding_Period,"",RATE(Holding_Period,0,-Table1[[#This Row],[Entry ]],Table1[[#This Row],[VTI Adj Closed]])*12)</f>
        <v>0.13602877947862368</v>
      </c>
    </row>
    <row r="55" spans="1:5">
      <c r="A55" s="16">
        <v>38261</v>
      </c>
      <c r="B55" s="17">
        <v>40.513351</v>
      </c>
      <c r="C55">
        <f t="shared" si="0"/>
        <v>40</v>
      </c>
      <c r="D55" s="17" cm="1">
        <f t="array" ref="D55">IF(Table1[[#This Row],[Months]]&lt;Holding_Period,"",INDEX(Table1[VTI Adj Closed],Table1[[#This Row],[Months]]-Holding_Period+1))</f>
        <v>36.864223000000003</v>
      </c>
      <c r="E55" s="64">
        <f>IF(Table1[[#This Row],[Months]]&lt;Holding_Period,"",RATE(Holding_Period,0,-Table1[[#This Row],[Entry ]],Table1[[#This Row],[VTI Adj Closed]])*12)</f>
        <v>9.4762263524871868E-2</v>
      </c>
    </row>
    <row r="56" spans="1:5">
      <c r="A56" s="16">
        <v>38292</v>
      </c>
      <c r="B56" s="17">
        <v>42.433750000000003</v>
      </c>
      <c r="C56">
        <f t="shared" si="0"/>
        <v>41</v>
      </c>
      <c r="D56" s="17" cm="1">
        <f t="array" ref="D56">IF(Table1[[#This Row],[Months]]&lt;Holding_Period,"",INDEX(Table1[VTI Adj Closed],Table1[[#This Row],[Months]]-Holding_Period+1))</f>
        <v>37.417465</v>
      </c>
      <c r="E56" s="64">
        <f>IF(Table1[[#This Row],[Months]]&lt;Holding_Period,"",RATE(Holding_Period,0,-Table1[[#This Row],[Entry ]],Table1[[#This Row],[VTI Adj Closed]])*12)</f>
        <v>0.12646824220576205</v>
      </c>
    </row>
    <row r="57" spans="1:5">
      <c r="A57" s="16">
        <v>38322</v>
      </c>
      <c r="B57" s="17">
        <v>43.597092000000004</v>
      </c>
      <c r="C57">
        <f t="shared" si="0"/>
        <v>42</v>
      </c>
      <c r="D57" s="17" cm="1">
        <f t="array" ref="D57">IF(Table1[[#This Row],[Months]]&lt;Holding_Period,"",INDEX(Table1[VTI Adj Closed],Table1[[#This Row],[Months]]-Holding_Period+1))</f>
        <v>38.749637999999997</v>
      </c>
      <c r="E57" s="64">
        <f>IF(Table1[[#This Row],[Months]]&lt;Holding_Period,"",RATE(Holding_Period,0,-Table1[[#This Row],[Entry ]],Table1[[#This Row],[VTI Adj Closed]])*12)</f>
        <v>0.11844981663792929</v>
      </c>
    </row>
    <row r="58" spans="1:5">
      <c r="A58" s="16">
        <v>38353</v>
      </c>
      <c r="B58" s="17">
        <v>42.790730000000003</v>
      </c>
      <c r="C58">
        <f t="shared" si="0"/>
        <v>43</v>
      </c>
      <c r="D58" s="17" cm="1">
        <f t="array" ref="D58">IF(Table1[[#This Row],[Months]]&lt;Holding_Period,"",INDEX(Table1[VTI Adj Closed],Table1[[#This Row],[Months]]-Holding_Period+1))</f>
        <v>39.929859</v>
      </c>
      <c r="E58" s="64">
        <f>IF(Table1[[#This Row],[Months]]&lt;Holding_Period,"",RATE(Holding_Period,0,-Table1[[#This Row],[Entry ]],Table1[[#This Row],[VTI Adj Closed]])*12)</f>
        <v>6.93969944410575E-2</v>
      </c>
    </row>
    <row r="59" spans="1:5">
      <c r="A59" s="16">
        <v>38384</v>
      </c>
      <c r="B59" s="17">
        <v>43.682980000000001</v>
      </c>
      <c r="C59">
        <f t="shared" si="0"/>
        <v>44</v>
      </c>
      <c r="D59" s="17" cm="1">
        <f t="array" ref="D59">IF(Table1[[#This Row],[Months]]&lt;Holding_Period,"",INDEX(Table1[VTI Adj Closed],Table1[[#This Row],[Months]]-Holding_Period+1))</f>
        <v>40.489082000000003</v>
      </c>
      <c r="E59" s="64">
        <f>IF(Table1[[#This Row],[Months]]&lt;Holding_Period,"",RATE(Holding_Period,0,-Table1[[#This Row],[Entry ]],Table1[[#This Row],[VTI Adj Closed]])*12)</f>
        <v>7.6166901890499031E-2</v>
      </c>
    </row>
    <row r="60" spans="1:5">
      <c r="A60" s="16">
        <v>38412</v>
      </c>
      <c r="B60" s="17">
        <v>42.701518999999998</v>
      </c>
      <c r="C60">
        <f t="shared" si="0"/>
        <v>45</v>
      </c>
      <c r="D60" s="17" cm="1">
        <f t="array" ref="D60">IF(Table1[[#This Row],[Months]]&lt;Holding_Period,"",INDEX(Table1[VTI Adj Closed],Table1[[#This Row],[Months]]-Holding_Period+1))</f>
        <v>39.944465999999998</v>
      </c>
      <c r="E60" s="64">
        <f>IF(Table1[[#This Row],[Months]]&lt;Holding_Period,"",RATE(Holding_Period,0,-Table1[[#This Row],[Entry ]],Table1[[#This Row],[VTI Adj Closed]])*12)</f>
        <v>6.6930315556798486E-2</v>
      </c>
    </row>
    <row r="61" spans="1:5">
      <c r="A61" s="16">
        <v>38443</v>
      </c>
      <c r="B61" s="17">
        <v>41.921078000000001</v>
      </c>
      <c r="C61">
        <f t="shared" si="0"/>
        <v>46</v>
      </c>
      <c r="D61" s="17" cm="1">
        <f t="array" ref="D61">IF(Table1[[#This Row],[Months]]&lt;Holding_Period,"",INDEX(Table1[VTI Adj Closed],Table1[[#This Row],[Months]]-Holding_Period+1))</f>
        <v>39.183506000000001</v>
      </c>
      <c r="E61" s="64">
        <f>IF(Table1[[#This Row],[Months]]&lt;Holding_Period,"",RATE(Holding_Period,0,-Table1[[#This Row],[Entry ]],Table1[[#This Row],[VTI Adj Closed]])*12)</f>
        <v>6.772324801274332E-2</v>
      </c>
    </row>
    <row r="62" spans="1:5">
      <c r="A62" s="16">
        <v>38473</v>
      </c>
      <c r="B62" s="17">
        <v>43.548203000000001</v>
      </c>
      <c r="C62">
        <f t="shared" si="0"/>
        <v>47</v>
      </c>
      <c r="D62" s="17" cm="1">
        <f t="array" ref="D62">IF(Table1[[#This Row],[Months]]&lt;Holding_Period,"",INDEX(Table1[VTI Adj Closed],Table1[[#This Row],[Months]]-Holding_Period+1))</f>
        <v>39.751911</v>
      </c>
      <c r="E62" s="64">
        <f>IF(Table1[[#This Row],[Months]]&lt;Holding_Period,"",RATE(Holding_Period,0,-Table1[[#This Row],[Entry ]],Table1[[#This Row],[VTI Adj Closed]])*12)</f>
        <v>9.1558044029957597E-2</v>
      </c>
    </row>
    <row r="63" spans="1:5">
      <c r="A63" s="16">
        <v>38504</v>
      </c>
      <c r="B63" s="17">
        <v>43.727345</v>
      </c>
      <c r="C63">
        <f t="shared" si="0"/>
        <v>48</v>
      </c>
      <c r="D63" s="17" cm="1">
        <f t="array" ref="D63">IF(Table1[[#This Row],[Months]]&lt;Holding_Period,"",INDEX(Table1[VTI Adj Closed],Table1[[#This Row],[Months]]-Holding_Period+1))</f>
        <v>40.419322999999999</v>
      </c>
      <c r="E63" s="64">
        <f>IF(Table1[[#This Row],[Months]]&lt;Holding_Period,"",RATE(Holding_Period,0,-Table1[[#This Row],[Entry ]],Table1[[#This Row],[VTI Adj Closed]])*12)</f>
        <v>7.8924097201707663E-2</v>
      </c>
    </row>
    <row r="64" spans="1:5">
      <c r="A64" s="16">
        <v>38534</v>
      </c>
      <c r="B64" s="17">
        <v>45.799511000000003</v>
      </c>
      <c r="C64">
        <f t="shared" si="0"/>
        <v>49</v>
      </c>
      <c r="D64" s="17" cm="1">
        <f t="array" ref="D64">IF(Table1[[#This Row],[Months]]&lt;Holding_Period,"",INDEX(Table1[VTI Adj Closed],Table1[[#This Row],[Months]]-Holding_Period+1))</f>
        <v>39.116610999999999</v>
      </c>
      <c r="E64" s="64">
        <f>IF(Table1[[#This Row],[Months]]&lt;Holding_Period,"",RATE(Holding_Period,0,-Table1[[#This Row],[Entry ]],Table1[[#This Row],[VTI Adj Closed]])*12)</f>
        <v>0.15876732492455226</v>
      </c>
    </row>
    <row r="65" spans="1:5">
      <c r="A65" s="16">
        <v>38565</v>
      </c>
      <c r="B65" s="17">
        <v>45.301445000000001</v>
      </c>
      <c r="C65">
        <f t="shared" si="0"/>
        <v>50</v>
      </c>
      <c r="D65" s="17" cm="1">
        <f t="array" ref="D65">IF(Table1[[#This Row],[Months]]&lt;Holding_Period,"",INDEX(Table1[VTI Adj Closed],Table1[[#This Row],[Months]]-Holding_Period+1))</f>
        <v>39.138686999999997</v>
      </c>
      <c r="E65" s="64">
        <f>IF(Table1[[#This Row],[Months]]&lt;Holding_Period,"",RATE(Holding_Period,0,-Table1[[#This Row],[Entry ]],Table1[[#This Row],[VTI Adj Closed]])*12)</f>
        <v>0.14712208212629041</v>
      </c>
    </row>
    <row r="66" spans="1:5">
      <c r="A66" s="16">
        <v>38596</v>
      </c>
      <c r="B66" s="17">
        <v>45.443752000000003</v>
      </c>
      <c r="C66">
        <f t="shared" si="0"/>
        <v>51</v>
      </c>
      <c r="D66" s="17" cm="1">
        <f t="array" ref="D66">IF(Table1[[#This Row],[Months]]&lt;Holding_Period,"",INDEX(Table1[VTI Adj Closed],Table1[[#This Row],[Months]]-Holding_Period+1))</f>
        <v>39.653877000000001</v>
      </c>
      <c r="E66" s="64">
        <f>IF(Table1[[#This Row],[Months]]&lt;Holding_Period,"",RATE(Holding_Period,0,-Table1[[#This Row],[Entry ]],Table1[[#This Row],[VTI Adj Closed]])*12)</f>
        <v>0.13706347415887582</v>
      </c>
    </row>
    <row r="67" spans="1:5">
      <c r="A67" s="16">
        <v>38626</v>
      </c>
      <c r="B67" s="17">
        <v>44.587722999999997</v>
      </c>
      <c r="C67">
        <f t="shared" si="0"/>
        <v>52</v>
      </c>
      <c r="D67" s="17" cm="1">
        <f t="array" ref="D67">IF(Table1[[#This Row],[Months]]&lt;Holding_Period,"",INDEX(Table1[VTI Adj Closed],Table1[[#This Row],[Months]]-Holding_Period+1))</f>
        <v>40.513351</v>
      </c>
      <c r="E67" s="64">
        <f>IF(Table1[[#This Row],[Months]]&lt;Holding_Period,"",RATE(Holding_Period,0,-Table1[[#This Row],[Entry ]],Table1[[#This Row],[VTI Adj Closed]])*12)</f>
        <v>9.6210615545811479E-2</v>
      </c>
    </row>
    <row r="68" spans="1:5">
      <c r="A68" s="16">
        <v>38657</v>
      </c>
      <c r="B68" s="17">
        <v>46.645907999999999</v>
      </c>
      <c r="C68">
        <f t="shared" si="0"/>
        <v>53</v>
      </c>
      <c r="D68" s="17" cm="1">
        <f t="array" ref="D68">IF(Table1[[#This Row],[Months]]&lt;Holding_Period,"",INDEX(Table1[VTI Adj Closed],Table1[[#This Row],[Months]]-Holding_Period+1))</f>
        <v>42.433750000000003</v>
      </c>
      <c r="E68" s="64">
        <f>IF(Table1[[#This Row],[Months]]&lt;Holding_Period,"",RATE(Holding_Period,0,-Table1[[#This Row],[Entry ]],Table1[[#This Row],[VTI Adj Closed]])*12)</f>
        <v>9.5015359596364812E-2</v>
      </c>
    </row>
    <row r="69" spans="1:5">
      <c r="A69" s="16">
        <v>38687</v>
      </c>
      <c r="B69" s="17">
        <v>46.405106000000004</v>
      </c>
      <c r="C69">
        <f t="shared" si="0"/>
        <v>54</v>
      </c>
      <c r="D69" s="17" cm="1">
        <f t="array" ref="D69">IF(Table1[[#This Row],[Months]]&lt;Holding_Period,"",INDEX(Table1[VTI Adj Closed],Table1[[#This Row],[Months]]-Holding_Period+1))</f>
        <v>43.597092000000004</v>
      </c>
      <c r="E69" s="64">
        <f>IF(Table1[[#This Row],[Months]]&lt;Holding_Period,"",RATE(Holding_Period,0,-Table1[[#This Row],[Entry ]],Table1[[#This Row],[VTI Adj Closed]])*12)</f>
        <v>6.2581666289910604E-2</v>
      </c>
    </row>
    <row r="70" spans="1:5">
      <c r="A70" s="16">
        <v>38718</v>
      </c>
      <c r="B70" s="17">
        <v>48.155940999999999</v>
      </c>
      <c r="C70">
        <f t="shared" si="0"/>
        <v>55</v>
      </c>
      <c r="D70" s="17" cm="1">
        <f t="array" ref="D70">IF(Table1[[#This Row],[Months]]&lt;Holding_Period,"",INDEX(Table1[VTI Adj Closed],Table1[[#This Row],[Months]]-Holding_Period+1))</f>
        <v>42.790730000000003</v>
      </c>
      <c r="E70" s="64">
        <f>IF(Table1[[#This Row],[Months]]&lt;Holding_Period,"",RATE(Holding_Period,0,-Table1[[#This Row],[Entry ]],Table1[[#This Row],[VTI Adj Closed]])*12)</f>
        <v>0.11870631490704486</v>
      </c>
    </row>
    <row r="71" spans="1:5">
      <c r="A71" s="16">
        <v>38749</v>
      </c>
      <c r="B71" s="17">
        <v>48.261864000000003</v>
      </c>
      <c r="C71">
        <f t="shared" si="0"/>
        <v>56</v>
      </c>
      <c r="D71" s="17" cm="1">
        <f t="array" ref="D71">IF(Table1[[#This Row],[Months]]&lt;Holding_Period,"",INDEX(Table1[VTI Adj Closed],Table1[[#This Row],[Months]]-Holding_Period+1))</f>
        <v>43.682980000000001</v>
      </c>
      <c r="E71" s="64">
        <f>IF(Table1[[#This Row],[Months]]&lt;Holding_Period,"",RATE(Holding_Period,0,-Table1[[#This Row],[Entry ]],Table1[[#This Row],[VTI Adj Closed]])*12)</f>
        <v>0.10009831011774714</v>
      </c>
    </row>
    <row r="72" spans="1:5">
      <c r="A72" s="16">
        <v>38777</v>
      </c>
      <c r="B72" s="17">
        <v>49.052470999999997</v>
      </c>
      <c r="C72">
        <f t="shared" si="0"/>
        <v>57</v>
      </c>
      <c r="D72" s="17" cm="1">
        <f t="array" ref="D72">IF(Table1[[#This Row],[Months]]&lt;Holding_Period,"",INDEX(Table1[VTI Adj Closed],Table1[[#This Row],[Months]]-Holding_Period+1))</f>
        <v>42.701518999999998</v>
      </c>
      <c r="E72" s="64">
        <f>IF(Table1[[#This Row],[Months]]&lt;Holding_Period,"",RATE(Holding_Period,0,-Table1[[#This Row],[Entry ]],Table1[[#This Row],[VTI Adj Closed]])*12)</f>
        <v>0.13946022553118503</v>
      </c>
    </row>
    <row r="73" spans="1:5">
      <c r="A73" s="16">
        <v>38808</v>
      </c>
      <c r="B73" s="17">
        <v>49.722439000000001</v>
      </c>
      <c r="C73">
        <f t="shared" si="0"/>
        <v>58</v>
      </c>
      <c r="D73" s="17" cm="1">
        <f t="array" ref="D73">IF(Table1[[#This Row],[Months]]&lt;Holding_Period,"",INDEX(Table1[VTI Adj Closed],Table1[[#This Row],[Months]]-Holding_Period+1))</f>
        <v>41.921078000000001</v>
      </c>
      <c r="E73" s="64">
        <f>IF(Table1[[#This Row],[Months]]&lt;Holding_Period,"",RATE(Holding_Period,0,-Table1[[#This Row],[Entry ]],Table1[[#This Row],[VTI Adj Closed]])*12)</f>
        <v>0.17188698132798919</v>
      </c>
    </row>
    <row r="74" spans="1:5">
      <c r="A74" s="16">
        <v>38838</v>
      </c>
      <c r="B74" s="17">
        <v>48.119587000000003</v>
      </c>
      <c r="C74">
        <f t="shared" si="0"/>
        <v>59</v>
      </c>
      <c r="D74" s="17" cm="1">
        <f t="array" ref="D74">IF(Table1[[#This Row],[Months]]&lt;Holding_Period,"",INDEX(Table1[VTI Adj Closed],Table1[[#This Row],[Months]]-Holding_Period+1))</f>
        <v>43.548203000000001</v>
      </c>
      <c r="E74" s="64">
        <f>IF(Table1[[#This Row],[Months]]&lt;Holding_Period,"",RATE(Holding_Period,0,-Table1[[#This Row],[Entry ]],Table1[[#This Row],[VTI Adj Closed]])*12)</f>
        <v>0.1002371976695241</v>
      </c>
    </row>
    <row r="75" spans="1:5">
      <c r="A75" s="16">
        <v>38869</v>
      </c>
      <c r="B75" s="17">
        <v>47.975245999999999</v>
      </c>
      <c r="C75">
        <f t="shared" si="0"/>
        <v>60</v>
      </c>
      <c r="D75" s="17" cm="1">
        <f t="array" ref="D75">IF(Table1[[#This Row],[Months]]&lt;Holding_Period,"",INDEX(Table1[VTI Adj Closed],Table1[[#This Row],[Months]]-Holding_Period+1))</f>
        <v>43.727345</v>
      </c>
      <c r="E75" s="64">
        <f>IF(Table1[[#This Row],[Months]]&lt;Holding_Period,"",RATE(Holding_Period,0,-Table1[[#This Row],[Entry ]],Table1[[#This Row],[VTI Adj Closed]])*12)</f>
        <v>9.3070586298329525E-2</v>
      </c>
    </row>
    <row r="76" spans="1:5">
      <c r="A76" s="16">
        <v>38899</v>
      </c>
      <c r="B76" s="17">
        <v>48.126067999999997</v>
      </c>
      <c r="C76">
        <f t="shared" si="0"/>
        <v>61</v>
      </c>
      <c r="D76" s="17" cm="1">
        <f t="array" ref="D76">IF(Table1[[#This Row],[Months]]&lt;Holding_Period,"",INDEX(Table1[VTI Adj Closed],Table1[[#This Row],[Months]]-Holding_Period+1))</f>
        <v>45.799511000000003</v>
      </c>
      <c r="E76" s="64">
        <f>IF(Table1[[#This Row],[Months]]&lt;Holding_Period,"",RATE(Holding_Period,0,-Table1[[#This Row],[Entry ]],Table1[[#This Row],[VTI Adj Closed]])*12)</f>
        <v>4.9653013777041149E-2</v>
      </c>
    </row>
    <row r="77" spans="1:5">
      <c r="A77" s="16">
        <v>38930</v>
      </c>
      <c r="B77" s="17">
        <v>49.232315</v>
      </c>
      <c r="C77">
        <f t="shared" si="0"/>
        <v>62</v>
      </c>
      <c r="D77" s="17" cm="1">
        <f t="array" ref="D77">IF(Table1[[#This Row],[Months]]&lt;Holding_Period,"",INDEX(Table1[VTI Adj Closed],Table1[[#This Row],[Months]]-Holding_Period+1))</f>
        <v>45.301445000000001</v>
      </c>
      <c r="E77" s="64">
        <f>IF(Table1[[#This Row],[Months]]&lt;Holding_Period,"",RATE(Holding_Period,0,-Table1[[#This Row],[Entry ]],Table1[[#This Row],[VTI Adj Closed]])*12)</f>
        <v>8.3500459341344396E-2</v>
      </c>
    </row>
    <row r="78" spans="1:5">
      <c r="A78" s="16">
        <v>38961</v>
      </c>
      <c r="B78" s="17">
        <v>50.140217</v>
      </c>
      <c r="C78">
        <f t="shared" si="0"/>
        <v>63</v>
      </c>
      <c r="D78" s="17" cm="1">
        <f t="array" ref="D78">IF(Table1[[#This Row],[Months]]&lt;Holding_Period,"",INDEX(Table1[VTI Adj Closed],Table1[[#This Row],[Months]]-Holding_Period+1))</f>
        <v>45.443752000000003</v>
      </c>
      <c r="E78" s="64">
        <f>IF(Table1[[#This Row],[Months]]&lt;Holding_Period,"",RATE(Holding_Period,0,-Table1[[#This Row],[Entry ]],Table1[[#This Row],[VTI Adj Closed]])*12)</f>
        <v>9.8752196788606639E-2</v>
      </c>
    </row>
    <row r="79" spans="1:5">
      <c r="A79" s="16">
        <v>38991</v>
      </c>
      <c r="B79" s="17">
        <v>52.122208000000001</v>
      </c>
      <c r="C79">
        <f t="shared" si="0"/>
        <v>64</v>
      </c>
      <c r="D79" s="17" cm="1">
        <f t="array" ref="D79">IF(Table1[[#This Row],[Months]]&lt;Holding_Period,"",INDEX(Table1[VTI Adj Closed],Table1[[#This Row],[Months]]-Holding_Period+1))</f>
        <v>44.587722999999997</v>
      </c>
      <c r="E79" s="64">
        <f>IF(Table1[[#This Row],[Months]]&lt;Holding_Period,"",RATE(Holding_Period,0,-Table1[[#This Row],[Entry ]],Table1[[#This Row],[VTI Adj Closed]])*12)</f>
        <v>0.1571527066905809</v>
      </c>
    </row>
    <row r="80" spans="1:5">
      <c r="A80" s="16">
        <v>39022</v>
      </c>
      <c r="B80" s="17">
        <v>53.336395000000003</v>
      </c>
      <c r="C80">
        <f t="shared" si="0"/>
        <v>65</v>
      </c>
      <c r="D80" s="17" cm="1">
        <f t="array" ref="D80">IF(Table1[[#This Row],[Months]]&lt;Holding_Period,"",INDEX(Table1[VTI Adj Closed],Table1[[#This Row],[Months]]-Holding_Period+1))</f>
        <v>46.645907999999999</v>
      </c>
      <c r="E80" s="64">
        <f>IF(Table1[[#This Row],[Months]]&lt;Holding_Period,"",RATE(Holding_Period,0,-Table1[[#This Row],[Entry ]],Table1[[#This Row],[VTI Adj Closed]])*12)</f>
        <v>0.13478506281651942</v>
      </c>
    </row>
    <row r="81" spans="1:5">
      <c r="A81" s="16">
        <v>39052</v>
      </c>
      <c r="B81" s="17">
        <v>53.704121000000001</v>
      </c>
      <c r="C81">
        <f t="shared" ref="C81:C144" si="1">C80+1</f>
        <v>66</v>
      </c>
      <c r="D81" s="17" cm="1">
        <f t="array" ref="D81">IF(Table1[[#This Row],[Months]]&lt;Holding_Period,"",INDEX(Table1[VTI Adj Closed],Table1[[#This Row],[Months]]-Holding_Period+1))</f>
        <v>46.405106000000004</v>
      </c>
      <c r="E81" s="64">
        <f>IF(Table1[[#This Row],[Months]]&lt;Holding_Period,"",RATE(Holding_Period,0,-Table1[[#This Row],[Entry ]],Table1[[#This Row],[VTI Adj Closed]])*12)</f>
        <v>0.146973005632451</v>
      </c>
    </row>
    <row r="82" spans="1:5">
      <c r="A82" s="16">
        <v>39083</v>
      </c>
      <c r="B82" s="17">
        <v>54.982036999999998</v>
      </c>
      <c r="C82">
        <f t="shared" si="1"/>
        <v>67</v>
      </c>
      <c r="D82" s="17" cm="1">
        <f t="array" ref="D82">IF(Table1[[#This Row],[Months]]&lt;Holding_Period,"",INDEX(Table1[VTI Adj Closed],Table1[[#This Row],[Months]]-Holding_Period+1))</f>
        <v>48.155940999999999</v>
      </c>
      <c r="E82" s="64">
        <f>IF(Table1[[#This Row],[Months]]&lt;Holding_Period,"",RATE(Holding_Period,0,-Table1[[#This Row],[Entry ]],Table1[[#This Row],[VTI Adj Closed]])*12)</f>
        <v>0.13329691494622359</v>
      </c>
    </row>
    <row r="83" spans="1:5">
      <c r="A83" s="16">
        <v>39114</v>
      </c>
      <c r="B83" s="17">
        <v>54.088898</v>
      </c>
      <c r="C83">
        <f t="shared" si="1"/>
        <v>68</v>
      </c>
      <c r="D83" s="17" cm="1">
        <f t="array" ref="D83">IF(Table1[[#This Row],[Months]]&lt;Holding_Period,"",INDEX(Table1[VTI Adj Closed],Table1[[#This Row],[Months]]-Holding_Period+1))</f>
        <v>48.261864000000003</v>
      </c>
      <c r="E83" s="64">
        <f>IF(Table1[[#This Row],[Months]]&lt;Holding_Period,"",RATE(Holding_Period,0,-Table1[[#This Row],[Entry ]],Table1[[#This Row],[VTI Adj Closed]])*12)</f>
        <v>0.11453036596685853</v>
      </c>
    </row>
    <row r="84" spans="1:5">
      <c r="A84" s="16">
        <v>39142</v>
      </c>
      <c r="B84" s="17">
        <v>54.462344999999999</v>
      </c>
      <c r="C84">
        <f t="shared" si="1"/>
        <v>69</v>
      </c>
      <c r="D84" s="17" cm="1">
        <f t="array" ref="D84">IF(Table1[[#This Row],[Months]]&lt;Holding_Period,"",INDEX(Table1[VTI Adj Closed],Table1[[#This Row],[Months]]-Holding_Period+1))</f>
        <v>49.052470999999997</v>
      </c>
      <c r="E84" s="64">
        <f>IF(Table1[[#This Row],[Months]]&lt;Holding_Period,"",RATE(Holding_Period,0,-Table1[[#This Row],[Entry ]],Table1[[#This Row],[VTI Adj Closed]])*12)</f>
        <v>0.10507635889532839</v>
      </c>
    </row>
    <row r="85" spans="1:5">
      <c r="A85" s="16">
        <v>39173</v>
      </c>
      <c r="B85" s="17">
        <v>56.895068999999999</v>
      </c>
      <c r="C85">
        <f t="shared" si="1"/>
        <v>70</v>
      </c>
      <c r="D85" s="17" cm="1">
        <f t="array" ref="D85">IF(Table1[[#This Row],[Months]]&lt;Holding_Period,"",INDEX(Table1[VTI Adj Closed],Table1[[#This Row],[Months]]-Holding_Period+1))</f>
        <v>49.722439000000001</v>
      </c>
      <c r="E85" s="64">
        <f>IF(Table1[[#This Row],[Months]]&lt;Holding_Period,"",RATE(Holding_Period,0,-Table1[[#This Row],[Entry ]],Table1[[#This Row],[VTI Adj Closed]])*12)</f>
        <v>0.13551178797007174</v>
      </c>
    </row>
    <row r="86" spans="1:5">
      <c r="A86" s="16">
        <v>39203</v>
      </c>
      <c r="B86" s="17">
        <v>59.013744000000003</v>
      </c>
      <c r="C86">
        <f t="shared" si="1"/>
        <v>71</v>
      </c>
      <c r="D86" s="17" cm="1">
        <f t="array" ref="D86">IF(Table1[[#This Row],[Months]]&lt;Holding_Period,"",INDEX(Table1[VTI Adj Closed],Table1[[#This Row],[Months]]-Holding_Period+1))</f>
        <v>48.119587000000003</v>
      </c>
      <c r="E86" s="64">
        <f>IF(Table1[[#This Row],[Months]]&lt;Holding_Period,"",RATE(Holding_Period,0,-Table1[[#This Row],[Entry ]],Table1[[#This Row],[VTI Adj Closed]])*12)</f>
        <v>0.20582631550958452</v>
      </c>
    </row>
    <row r="87" spans="1:5">
      <c r="A87" s="16">
        <v>39234</v>
      </c>
      <c r="B87" s="17">
        <v>57.753376000000003</v>
      </c>
      <c r="C87">
        <f t="shared" si="1"/>
        <v>72</v>
      </c>
      <c r="D87" s="17" cm="1">
        <f t="array" ref="D87">IF(Table1[[#This Row],[Months]]&lt;Holding_Period,"",INDEX(Table1[VTI Adj Closed],Table1[[#This Row],[Months]]-Holding_Period+1))</f>
        <v>47.975245999999999</v>
      </c>
      <c r="E87" s="64">
        <f>IF(Table1[[#This Row],[Months]]&lt;Holding_Period,"",RATE(Holding_Period,0,-Table1[[#This Row],[Entry ]],Table1[[#This Row],[VTI Adj Closed]])*12)</f>
        <v>0.18693776153184646</v>
      </c>
    </row>
    <row r="88" spans="1:5">
      <c r="A88" s="16">
        <v>39264</v>
      </c>
      <c r="B88" s="17">
        <v>55.924328000000003</v>
      </c>
      <c r="C88">
        <f t="shared" si="1"/>
        <v>73</v>
      </c>
      <c r="D88" s="17" cm="1">
        <f t="array" ref="D88">IF(Table1[[#This Row],[Months]]&lt;Holding_Period,"",INDEX(Table1[VTI Adj Closed],Table1[[#This Row],[Months]]-Holding_Period+1))</f>
        <v>48.126067999999997</v>
      </c>
      <c r="E88" s="64">
        <f>IF(Table1[[#This Row],[Months]]&lt;Holding_Period,"",RATE(Holding_Period,0,-Table1[[#This Row],[Entry ]],Table1[[#This Row],[VTI Adj Closed]])*12)</f>
        <v>0.1511191340305405</v>
      </c>
    </row>
    <row r="89" spans="1:5">
      <c r="A89" s="16">
        <v>39295</v>
      </c>
      <c r="B89" s="17">
        <v>56.747081999999999</v>
      </c>
      <c r="C89">
        <f t="shared" si="1"/>
        <v>74</v>
      </c>
      <c r="D89" s="17" cm="1">
        <f t="array" ref="D89">IF(Table1[[#This Row],[Months]]&lt;Holding_Period,"",INDEX(Table1[VTI Adj Closed],Table1[[#This Row],[Months]]-Holding_Period+1))</f>
        <v>49.232315</v>
      </c>
      <c r="E89" s="64">
        <f>IF(Table1[[#This Row],[Months]]&lt;Holding_Period,"",RATE(Holding_Period,0,-Table1[[#This Row],[Entry ]],Table1[[#This Row],[VTI Adj Closed]])*12)</f>
        <v>0.14289815333840847</v>
      </c>
    </row>
    <row r="90" spans="1:5">
      <c r="A90" s="16">
        <v>39326</v>
      </c>
      <c r="B90" s="17">
        <v>58.679805999999999</v>
      </c>
      <c r="C90">
        <f t="shared" si="1"/>
        <v>75</v>
      </c>
      <c r="D90" s="17" cm="1">
        <f t="array" ref="D90">IF(Table1[[#This Row],[Months]]&lt;Holding_Period,"",INDEX(Table1[VTI Adj Closed],Table1[[#This Row],[Months]]-Holding_Period+1))</f>
        <v>50.140217</v>
      </c>
      <c r="E90" s="64">
        <f>IF(Table1[[#This Row],[Months]]&lt;Holding_Period,"",RATE(Holding_Period,0,-Table1[[#This Row],[Entry ]],Table1[[#This Row],[VTI Adj Closed]])*12)</f>
        <v>0.15830735015872371</v>
      </c>
    </row>
    <row r="91" spans="1:5">
      <c r="A91" s="16">
        <v>39356</v>
      </c>
      <c r="B91" s="17">
        <v>59.986221</v>
      </c>
      <c r="C91">
        <f t="shared" si="1"/>
        <v>76</v>
      </c>
      <c r="D91" s="17" cm="1">
        <f t="array" ref="D91">IF(Table1[[#This Row],[Months]]&lt;Holding_Period,"",INDEX(Table1[VTI Adj Closed],Table1[[#This Row],[Months]]-Holding_Period+1))</f>
        <v>52.122208000000001</v>
      </c>
      <c r="E91" s="64">
        <f>IF(Table1[[#This Row],[Months]]&lt;Holding_Period,"",RATE(Holding_Period,0,-Table1[[#This Row],[Entry ]],Table1[[#This Row],[VTI Adj Closed]])*12)</f>
        <v>0.1413497805984972</v>
      </c>
    </row>
    <row r="92" spans="1:5">
      <c r="A92" s="16">
        <v>39387</v>
      </c>
      <c r="B92" s="17">
        <v>57.273547999999998</v>
      </c>
      <c r="C92">
        <f t="shared" si="1"/>
        <v>77</v>
      </c>
      <c r="D92" s="17" cm="1">
        <f t="array" ref="D92">IF(Table1[[#This Row],[Months]]&lt;Holding_Period,"",INDEX(Table1[VTI Adj Closed],Table1[[#This Row],[Months]]-Holding_Period+1))</f>
        <v>53.336395000000003</v>
      </c>
      <c r="E92" s="64">
        <f>IF(Table1[[#This Row],[Months]]&lt;Holding_Period,"",RATE(Holding_Period,0,-Table1[[#This Row],[Entry ]],Table1[[#This Row],[VTI Adj Closed]])*12)</f>
        <v>7.1431709233559099E-2</v>
      </c>
    </row>
    <row r="93" spans="1:5">
      <c r="A93" s="16">
        <v>39417</v>
      </c>
      <c r="B93" s="17">
        <v>56.572001999999998</v>
      </c>
      <c r="C93">
        <f t="shared" si="1"/>
        <v>78</v>
      </c>
      <c r="D93" s="17" cm="1">
        <f t="array" ref="D93">IF(Table1[[#This Row],[Months]]&lt;Holding_Period,"",INDEX(Table1[VTI Adj Closed],Table1[[#This Row],[Months]]-Holding_Period+1))</f>
        <v>53.704121000000001</v>
      </c>
      <c r="E93" s="64">
        <f>IF(Table1[[#This Row],[Months]]&lt;Holding_Period,"",RATE(Holding_Period,0,-Table1[[#This Row],[Entry ]],Table1[[#This Row],[VTI Adj Closed]])*12)</f>
        <v>5.2137394613843521E-2</v>
      </c>
    </row>
    <row r="94" spans="1:5">
      <c r="A94" s="16">
        <v>39448</v>
      </c>
      <c r="B94" s="17">
        <v>53.368805000000002</v>
      </c>
      <c r="C94">
        <f t="shared" si="1"/>
        <v>79</v>
      </c>
      <c r="D94" s="17" cm="1">
        <f t="array" ref="D94">IF(Table1[[#This Row],[Months]]&lt;Holding_Period,"",INDEX(Table1[VTI Adj Closed],Table1[[#This Row],[Months]]-Holding_Period+1))</f>
        <v>54.982036999999998</v>
      </c>
      <c r="E94" s="64">
        <f>IF(Table1[[#This Row],[Months]]&lt;Holding_Period,"",RATE(Holding_Period,0,-Table1[[#This Row],[Entry ]],Table1[[#This Row],[VTI Adj Closed]])*12)</f>
        <v>-2.9743210848544317E-2</v>
      </c>
    </row>
    <row r="95" spans="1:5">
      <c r="A95" s="16">
        <v>39479</v>
      </c>
      <c r="B95" s="17">
        <v>52.036529999999999</v>
      </c>
      <c r="C95">
        <f t="shared" si="1"/>
        <v>80</v>
      </c>
      <c r="D95" s="17" cm="1">
        <f t="array" ref="D95">IF(Table1[[#This Row],[Months]]&lt;Holding_Period,"",INDEX(Table1[VTI Adj Closed],Table1[[#This Row],[Months]]-Holding_Period+1))</f>
        <v>54.088898</v>
      </c>
      <c r="E95" s="64">
        <f>IF(Table1[[#This Row],[Months]]&lt;Holding_Period,"",RATE(Holding_Period,0,-Table1[[#This Row],[Entry ]],Table1[[#This Row],[VTI Adj Closed]])*12)</f>
        <v>-3.8620698345081673E-2</v>
      </c>
    </row>
    <row r="96" spans="1:5">
      <c r="A96" s="16">
        <v>39508</v>
      </c>
      <c r="B96" s="17">
        <v>51.331234000000002</v>
      </c>
      <c r="C96">
        <f t="shared" si="1"/>
        <v>81</v>
      </c>
      <c r="D96" s="17" cm="1">
        <f t="array" ref="D96">IF(Table1[[#This Row],[Months]]&lt;Holding_Period,"",INDEX(Table1[VTI Adj Closed],Table1[[#This Row],[Months]]-Holding_Period+1))</f>
        <v>54.462344999999999</v>
      </c>
      <c r="E96" s="64">
        <f>IF(Table1[[#This Row],[Months]]&lt;Holding_Period,"",RATE(Holding_Period,0,-Table1[[#This Row],[Entry ]],Table1[[#This Row],[VTI Adj Closed]])*12)</f>
        <v>-5.906429195491638E-2</v>
      </c>
    </row>
    <row r="97" spans="1:5">
      <c r="A97" s="16">
        <v>39539</v>
      </c>
      <c r="B97" s="17">
        <v>54.090491999999998</v>
      </c>
      <c r="C97">
        <f t="shared" si="1"/>
        <v>82</v>
      </c>
      <c r="D97" s="17" cm="1">
        <f t="array" ref="D97">IF(Table1[[#This Row],[Months]]&lt;Holding_Period,"",INDEX(Table1[VTI Adj Closed],Table1[[#This Row],[Months]]-Holding_Period+1))</f>
        <v>56.895068999999999</v>
      </c>
      <c r="E97" s="64">
        <f>IF(Table1[[#This Row],[Months]]&lt;Holding_Period,"",RATE(Holding_Period,0,-Table1[[#This Row],[Entry ]],Table1[[#This Row],[VTI Adj Closed]])*12)</f>
        <v>-5.0443932108157438E-2</v>
      </c>
    </row>
    <row r="98" spans="1:5">
      <c r="A98" s="16">
        <v>39569</v>
      </c>
      <c r="B98" s="17">
        <v>55.180957999999997</v>
      </c>
      <c r="C98">
        <f t="shared" si="1"/>
        <v>83</v>
      </c>
      <c r="D98" s="17" cm="1">
        <f t="array" ref="D98">IF(Table1[[#This Row],[Months]]&lt;Holding_Period,"",INDEX(Table1[VTI Adj Closed],Table1[[#This Row],[Months]]-Holding_Period+1))</f>
        <v>59.013744000000003</v>
      </c>
      <c r="E98" s="64">
        <f>IF(Table1[[#This Row],[Months]]&lt;Holding_Period,"",RATE(Holding_Period,0,-Table1[[#This Row],[Entry ]],Table1[[#This Row],[VTI Adj Closed]])*12)</f>
        <v>-6.696489218370244E-2</v>
      </c>
    </row>
    <row r="99" spans="1:5">
      <c r="A99" s="16">
        <v>39600</v>
      </c>
      <c r="B99" s="17">
        <v>50.460830999999999</v>
      </c>
      <c r="C99">
        <f t="shared" si="1"/>
        <v>84</v>
      </c>
      <c r="D99" s="17" cm="1">
        <f t="array" ref="D99">IF(Table1[[#This Row],[Months]]&lt;Holding_Period,"",INDEX(Table1[VTI Adj Closed],Table1[[#This Row],[Months]]-Holding_Period+1))</f>
        <v>57.753376000000003</v>
      </c>
      <c r="E99" s="64">
        <f>IF(Table1[[#This Row],[Months]]&lt;Holding_Period,"",RATE(Holding_Period,0,-Table1[[#This Row],[Entry ]],Table1[[#This Row],[VTI Adj Closed]])*12)</f>
        <v>-0.13422803420180032</v>
      </c>
    </row>
    <row r="100" spans="1:5">
      <c r="A100" s="16">
        <v>39630</v>
      </c>
      <c r="B100" s="17">
        <v>50.383408000000003</v>
      </c>
      <c r="C100">
        <f t="shared" si="1"/>
        <v>85</v>
      </c>
      <c r="D100" s="17" cm="1">
        <f t="array" ref="D100">IF(Table1[[#This Row],[Months]]&lt;Holding_Period,"",INDEX(Table1[VTI Adj Closed],Table1[[#This Row],[Months]]-Holding_Period+1))</f>
        <v>55.924328000000003</v>
      </c>
      <c r="E100" s="64">
        <f>IF(Table1[[#This Row],[Months]]&lt;Holding_Period,"",RATE(Holding_Period,0,-Table1[[#This Row],[Entry ]],Table1[[#This Row],[VTI Adj Closed]])*12)</f>
        <v>-0.10388529138200689</v>
      </c>
    </row>
    <row r="101" spans="1:5">
      <c r="A101" s="16">
        <v>39661</v>
      </c>
      <c r="B101" s="17">
        <v>51.119098999999999</v>
      </c>
      <c r="C101">
        <f t="shared" si="1"/>
        <v>86</v>
      </c>
      <c r="D101" s="17" cm="1">
        <f t="array" ref="D101">IF(Table1[[#This Row],[Months]]&lt;Holding_Period,"",INDEX(Table1[VTI Adj Closed],Table1[[#This Row],[Months]]-Holding_Period+1))</f>
        <v>56.747081999999999</v>
      </c>
      <c r="E101" s="64">
        <f>IF(Table1[[#This Row],[Months]]&lt;Holding_Period,"",RATE(Holding_Period,0,-Table1[[#This Row],[Entry ]],Table1[[#This Row],[VTI Adj Closed]])*12)</f>
        <v>-0.10399282695080217</v>
      </c>
    </row>
    <row r="102" spans="1:5">
      <c r="A102" s="16">
        <v>39692</v>
      </c>
      <c r="B102" s="17">
        <v>46.166992</v>
      </c>
      <c r="C102">
        <f t="shared" si="1"/>
        <v>87</v>
      </c>
      <c r="D102" s="17" cm="1">
        <f t="array" ref="D102">IF(Table1[[#This Row],[Months]]&lt;Holding_Period,"",INDEX(Table1[VTI Adj Closed],Table1[[#This Row],[Months]]-Holding_Period+1))</f>
        <v>58.679805999999999</v>
      </c>
      <c r="E102" s="64">
        <f>IF(Table1[[#This Row],[Months]]&lt;Holding_Period,"",RATE(Holding_Period,0,-Table1[[#This Row],[Entry ]],Table1[[#This Row],[VTI Adj Closed]])*12)</f>
        <v>-0.23744983755379367</v>
      </c>
    </row>
    <row r="103" spans="1:5">
      <c r="A103" s="16">
        <v>39722</v>
      </c>
      <c r="B103" s="17">
        <v>38.286330999999997</v>
      </c>
      <c r="C103">
        <f t="shared" si="1"/>
        <v>88</v>
      </c>
      <c r="D103" s="17" cm="1">
        <f t="array" ref="D103">IF(Table1[[#This Row],[Months]]&lt;Holding_Period,"",INDEX(Table1[VTI Adj Closed],Table1[[#This Row],[Months]]-Holding_Period+1))</f>
        <v>59.986221</v>
      </c>
      <c r="E103" s="64">
        <f>IF(Table1[[#This Row],[Months]]&lt;Holding_Period,"",RATE(Holding_Period,0,-Table1[[#This Row],[Entry ]],Table1[[#This Row],[VTI Adj Closed]])*12)</f>
        <v>-0.44072489310734153</v>
      </c>
    </row>
    <row r="104" spans="1:5">
      <c r="A104" s="16">
        <v>39753</v>
      </c>
      <c r="B104" s="17">
        <v>35.217686</v>
      </c>
      <c r="C104">
        <f t="shared" si="1"/>
        <v>89</v>
      </c>
      <c r="D104" s="17" cm="1">
        <f t="array" ref="D104">IF(Table1[[#This Row],[Months]]&lt;Holding_Period,"",INDEX(Table1[VTI Adj Closed],Table1[[#This Row],[Months]]-Holding_Period+1))</f>
        <v>57.273547999999998</v>
      </c>
      <c r="E104" s="64">
        <f>IF(Table1[[#This Row],[Months]]&lt;Holding_Period,"",RATE(Holding_Period,0,-Table1[[#This Row],[Entry ]],Table1[[#This Row],[VTI Adj Closed]])*12)</f>
        <v>-0.47656897025013578</v>
      </c>
    </row>
    <row r="105" spans="1:5">
      <c r="A105" s="16">
        <v>39783</v>
      </c>
      <c r="B105" s="17">
        <v>35.567497000000003</v>
      </c>
      <c r="C105">
        <f t="shared" si="1"/>
        <v>90</v>
      </c>
      <c r="D105" s="17" cm="1">
        <f t="array" ref="D105">IF(Table1[[#This Row],[Months]]&lt;Holding_Period,"",INDEX(Table1[VTI Adj Closed],Table1[[#This Row],[Months]]-Holding_Period+1))</f>
        <v>56.572001999999998</v>
      </c>
      <c r="E105" s="64">
        <f>IF(Table1[[#This Row],[Months]]&lt;Holding_Period,"",RATE(Holding_Period,0,-Table1[[#This Row],[Entry ]],Table1[[#This Row],[VTI Adj Closed]])*12)</f>
        <v>-0.45522271969729311</v>
      </c>
    </row>
    <row r="106" spans="1:5">
      <c r="A106" s="16">
        <v>39814</v>
      </c>
      <c r="B106" s="17">
        <v>32.955849000000001</v>
      </c>
      <c r="C106">
        <f t="shared" si="1"/>
        <v>91</v>
      </c>
      <c r="D106" s="17" cm="1">
        <f t="array" ref="D106">IF(Table1[[#This Row],[Months]]&lt;Holding_Period,"",INDEX(Table1[VTI Adj Closed],Table1[[#This Row],[Months]]-Holding_Period+1))</f>
        <v>53.368805000000002</v>
      </c>
      <c r="E106" s="64">
        <f>IF(Table1[[#This Row],[Months]]&lt;Holding_Period,"",RATE(Holding_Period,0,-Table1[[#This Row],[Entry ]],Table1[[#This Row],[VTI Adj Closed]])*12)</f>
        <v>-0.47250352202667845</v>
      </c>
    </row>
    <row r="107" spans="1:5">
      <c r="A107" s="16">
        <v>39845</v>
      </c>
      <c r="B107" s="17">
        <v>29.487231999999999</v>
      </c>
      <c r="C107">
        <f t="shared" si="1"/>
        <v>92</v>
      </c>
      <c r="D107" s="17" cm="1">
        <f t="array" ref="D107">IF(Table1[[#This Row],[Months]]&lt;Holding_Period,"",INDEX(Table1[VTI Adj Closed],Table1[[#This Row],[Months]]-Holding_Period+1))</f>
        <v>52.036529999999999</v>
      </c>
      <c r="E107" s="64">
        <f>IF(Table1[[#This Row],[Months]]&lt;Holding_Period,"",RATE(Holding_Period,0,-Table1[[#This Row],[Entry ]],Table1[[#This Row],[VTI Adj Closed]])*12)</f>
        <v>-0.55475608465676407</v>
      </c>
    </row>
    <row r="108" spans="1:5">
      <c r="A108" s="16">
        <v>39873</v>
      </c>
      <c r="B108" s="17">
        <v>31.706181999999998</v>
      </c>
      <c r="C108">
        <f t="shared" si="1"/>
        <v>93</v>
      </c>
      <c r="D108" s="17" cm="1">
        <f t="array" ref="D108">IF(Table1[[#This Row],[Months]]&lt;Holding_Period,"",INDEX(Table1[VTI Adj Closed],Table1[[#This Row],[Months]]-Holding_Period+1))</f>
        <v>51.331234000000002</v>
      </c>
      <c r="E108" s="64">
        <f>IF(Table1[[#This Row],[Months]]&lt;Holding_Period,"",RATE(Holding_Period,0,-Table1[[#This Row],[Entry ]],Table1[[#This Row],[VTI Adj Closed]])*12)</f>
        <v>-0.47224424313997193</v>
      </c>
    </row>
    <row r="109" spans="1:5">
      <c r="A109" s="16">
        <v>39904</v>
      </c>
      <c r="B109" s="17">
        <v>35.435318000000002</v>
      </c>
      <c r="C109">
        <f t="shared" si="1"/>
        <v>94</v>
      </c>
      <c r="D109" s="17" cm="1">
        <f t="array" ref="D109">IF(Table1[[#This Row],[Months]]&lt;Holding_Period,"",INDEX(Table1[VTI Adj Closed],Table1[[#This Row],[Months]]-Holding_Period+1))</f>
        <v>54.090491999999998</v>
      </c>
      <c r="E109" s="64">
        <f>IF(Table1[[#This Row],[Months]]&lt;Holding_Period,"",RATE(Holding_Period,0,-Table1[[#This Row],[Entry ]],Table1[[#This Row],[VTI Adj Closed]])*12)</f>
        <v>-0.41558262642247434</v>
      </c>
    </row>
    <row r="110" spans="1:5">
      <c r="A110" s="16">
        <v>39934</v>
      </c>
      <c r="B110" s="17">
        <v>37.371234999999999</v>
      </c>
      <c r="C110">
        <f t="shared" si="1"/>
        <v>95</v>
      </c>
      <c r="D110" s="17" cm="1">
        <f t="array" ref="D110">IF(Table1[[#This Row],[Months]]&lt;Holding_Period,"",INDEX(Table1[VTI Adj Closed],Table1[[#This Row],[Months]]-Holding_Period+1))</f>
        <v>55.180957999999997</v>
      </c>
      <c r="E110" s="64">
        <f>IF(Table1[[#This Row],[Months]]&lt;Holding_Period,"",RATE(Holding_Period,0,-Table1[[#This Row],[Entry ]],Table1[[#This Row],[VTI Adj Closed]])*12)</f>
        <v>-0.3834562991220376</v>
      </c>
    </row>
    <row r="111" spans="1:5">
      <c r="A111" s="16">
        <v>39965</v>
      </c>
      <c r="B111" s="17">
        <v>37.322837999999997</v>
      </c>
      <c r="C111">
        <f t="shared" si="1"/>
        <v>96</v>
      </c>
      <c r="D111" s="17" cm="1">
        <f t="array" ref="D111">IF(Table1[[#This Row],[Months]]&lt;Holding_Period,"",INDEX(Table1[VTI Adj Closed],Table1[[#This Row],[Months]]-Holding_Period+1))</f>
        <v>50.460830999999999</v>
      </c>
      <c r="E111" s="64">
        <f>IF(Table1[[#This Row],[Months]]&lt;Holding_Period,"",RATE(Holding_Period,0,-Table1[[#This Row],[Entry ]],Table1[[#This Row],[VTI Adj Closed]])*12)</f>
        <v>-0.2978336396746778</v>
      </c>
    </row>
    <row r="112" spans="1:5">
      <c r="A112" s="16">
        <v>39995</v>
      </c>
      <c r="B112" s="17">
        <v>40.410614000000002</v>
      </c>
      <c r="C112">
        <f t="shared" si="1"/>
        <v>97</v>
      </c>
      <c r="D112" s="17" cm="1">
        <f t="array" ref="D112">IF(Table1[[#This Row],[Months]]&lt;Holding_Period,"",INDEX(Table1[VTI Adj Closed],Table1[[#This Row],[Months]]-Holding_Period+1))</f>
        <v>50.383408000000003</v>
      </c>
      <c r="E112" s="64">
        <f>IF(Table1[[#This Row],[Months]]&lt;Holding_Period,"",RATE(Holding_Period,0,-Table1[[#This Row],[Entry ]],Table1[[#This Row],[VTI Adj Closed]])*12)</f>
        <v>-0.21855468437792075</v>
      </c>
    </row>
    <row r="113" spans="1:5">
      <c r="A113" s="16">
        <v>40026</v>
      </c>
      <c r="B113" s="17">
        <v>41.910308999999998</v>
      </c>
      <c r="C113">
        <f t="shared" si="1"/>
        <v>98</v>
      </c>
      <c r="D113" s="17" cm="1">
        <f t="array" ref="D113">IF(Table1[[#This Row],[Months]]&lt;Holding_Period,"",INDEX(Table1[VTI Adj Closed],Table1[[#This Row],[Months]]-Holding_Period+1))</f>
        <v>51.119098999999999</v>
      </c>
      <c r="E113" s="64">
        <f>IF(Table1[[#This Row],[Months]]&lt;Holding_Period,"",RATE(Holding_Period,0,-Table1[[#This Row],[Entry ]],Table1[[#This Row],[VTI Adj Closed]])*12)</f>
        <v>-0.19699153103045355</v>
      </c>
    </row>
    <row r="114" spans="1:5">
      <c r="A114" s="16">
        <v>40057</v>
      </c>
      <c r="B114" s="17">
        <v>43.442416999999999</v>
      </c>
      <c r="C114">
        <f t="shared" si="1"/>
        <v>99</v>
      </c>
      <c r="D114" s="17" cm="1">
        <f t="array" ref="D114">IF(Table1[[#This Row],[Months]]&lt;Holding_Period,"",INDEX(Table1[VTI Adj Closed],Table1[[#This Row],[Months]]-Holding_Period+1))</f>
        <v>46.166992</v>
      </c>
      <c r="E114" s="64">
        <f>IF(Table1[[#This Row],[Months]]&lt;Holding_Period,"",RATE(Holding_Period,0,-Table1[[#This Row],[Entry ]],Table1[[#This Row],[VTI Adj Closed]])*12)</f>
        <v>-6.0674857524648226E-2</v>
      </c>
    </row>
    <row r="115" spans="1:5">
      <c r="A115" s="16">
        <v>40087</v>
      </c>
      <c r="B115" s="17">
        <v>42.494391999999998</v>
      </c>
      <c r="C115">
        <f t="shared" si="1"/>
        <v>100</v>
      </c>
      <c r="D115" s="17" cm="1">
        <f t="array" ref="D115">IF(Table1[[#This Row],[Months]]&lt;Holding_Period,"",INDEX(Table1[VTI Adj Closed],Table1[[#This Row],[Months]]-Holding_Period+1))</f>
        <v>38.286330999999997</v>
      </c>
      <c r="E115" s="64">
        <f>IF(Table1[[#This Row],[Months]]&lt;Holding_Period,"",RATE(Holding_Period,0,-Table1[[#This Row],[Entry ]],Table1[[#This Row],[VTI Adj Closed]])*12)</f>
        <v>0.10473357947143945</v>
      </c>
    </row>
    <row r="116" spans="1:5">
      <c r="A116" s="16">
        <v>40118</v>
      </c>
      <c r="B116" s="17">
        <v>44.913105000000002</v>
      </c>
      <c r="C116">
        <f t="shared" si="1"/>
        <v>101</v>
      </c>
      <c r="D116" s="17" cm="1">
        <f t="array" ref="D116">IF(Table1[[#This Row],[Months]]&lt;Holding_Period,"",INDEX(Table1[VTI Adj Closed],Table1[[#This Row],[Months]]-Holding_Period+1))</f>
        <v>35.217686</v>
      </c>
      <c r="E116" s="64">
        <f>IF(Table1[[#This Row],[Months]]&lt;Holding_Period,"",RATE(Holding_Period,0,-Table1[[#This Row],[Entry ]],Table1[[#This Row],[VTI Adj Closed]])*12)</f>
        <v>0.24566199890968748</v>
      </c>
    </row>
    <row r="117" spans="1:5">
      <c r="A117" s="16">
        <v>40148</v>
      </c>
      <c r="B117" s="17">
        <v>45.906661999999997</v>
      </c>
      <c r="C117">
        <f t="shared" si="1"/>
        <v>102</v>
      </c>
      <c r="D117" s="17" cm="1">
        <f t="array" ref="D117">IF(Table1[[#This Row],[Months]]&lt;Holding_Period,"",INDEX(Table1[VTI Adj Closed],Table1[[#This Row],[Months]]-Holding_Period+1))</f>
        <v>35.567497000000003</v>
      </c>
      <c r="E117" s="64">
        <f>IF(Table1[[#This Row],[Months]]&lt;Holding_Period,"",RATE(Holding_Period,0,-Table1[[#This Row],[Entry ]],Table1[[#This Row],[VTI Adj Closed]])*12)</f>
        <v>0.25791052677756593</v>
      </c>
    </row>
    <row r="118" spans="1:5">
      <c r="A118" s="16">
        <v>40179</v>
      </c>
      <c r="B118" s="17">
        <v>44.551689000000003</v>
      </c>
      <c r="C118">
        <f t="shared" si="1"/>
        <v>103</v>
      </c>
      <c r="D118" s="17" cm="1">
        <f t="array" ref="D118">IF(Table1[[#This Row],[Months]]&lt;Holding_Period,"",INDEX(Table1[VTI Adj Closed],Table1[[#This Row],[Months]]-Holding_Period+1))</f>
        <v>32.955849000000001</v>
      </c>
      <c r="E118" s="64">
        <f>IF(Table1[[#This Row],[Months]]&lt;Holding_Period,"",RATE(Holding_Period,0,-Table1[[#This Row],[Entry ]],Table1[[#This Row],[VTI Adj Closed]])*12)</f>
        <v>0.30530034863756128</v>
      </c>
    </row>
    <row r="119" spans="1:5">
      <c r="A119" s="16">
        <v>40210</v>
      </c>
      <c r="B119" s="17">
        <v>46.084277999999998</v>
      </c>
      <c r="C119">
        <f t="shared" si="1"/>
        <v>104</v>
      </c>
      <c r="D119" s="17" cm="1">
        <f t="array" ref="D119">IF(Table1[[#This Row],[Months]]&lt;Holding_Period,"",INDEX(Table1[VTI Adj Closed],Table1[[#This Row],[Months]]-Holding_Period+1))</f>
        <v>29.487231999999999</v>
      </c>
      <c r="E119" s="64">
        <f>IF(Table1[[#This Row],[Months]]&lt;Holding_Period,"",RATE(Holding_Period,0,-Table1[[#This Row],[Entry ]],Table1[[#This Row],[VTI Adj Closed]])*12)</f>
        <v>0.45492579688225337</v>
      </c>
    </row>
    <row r="120" spans="1:5">
      <c r="A120" s="16">
        <v>40238</v>
      </c>
      <c r="B120" s="17">
        <v>48.83802</v>
      </c>
      <c r="C120">
        <f t="shared" si="1"/>
        <v>105</v>
      </c>
      <c r="D120" s="17" cm="1">
        <f t="array" ref="D120">IF(Table1[[#This Row],[Months]]&lt;Holding_Period,"",INDEX(Table1[VTI Adj Closed],Table1[[#This Row],[Months]]-Holding_Period+1))</f>
        <v>31.706181999999998</v>
      </c>
      <c r="E120" s="64">
        <f>IF(Table1[[#This Row],[Months]]&lt;Holding_Period,"",RATE(Holding_Period,0,-Table1[[#This Row],[Entry ]],Table1[[#This Row],[VTI Adj Closed]])*12)</f>
        <v>0.43986749394798175</v>
      </c>
    </row>
    <row r="121" spans="1:5">
      <c r="A121" s="16">
        <v>40269</v>
      </c>
      <c r="B121" s="17">
        <v>50.101379000000001</v>
      </c>
      <c r="C121">
        <f t="shared" si="1"/>
        <v>106</v>
      </c>
      <c r="D121" s="17" cm="1">
        <f t="array" ref="D121">IF(Table1[[#This Row],[Months]]&lt;Holding_Period,"",INDEX(Table1[VTI Adj Closed],Table1[[#This Row],[Months]]-Holding_Period+1))</f>
        <v>35.435318000000002</v>
      </c>
      <c r="E121" s="64">
        <f>IF(Table1[[#This Row],[Months]]&lt;Holding_Period,"",RATE(Holding_Period,0,-Table1[[#This Row],[Entry ]],Table1[[#This Row],[VTI Adj Closed]])*12)</f>
        <v>0.35138591958140164</v>
      </c>
    </row>
    <row r="122" spans="1:5">
      <c r="A122" s="16">
        <v>40299</v>
      </c>
      <c r="B122" s="17">
        <v>46.151854999999998</v>
      </c>
      <c r="C122">
        <f t="shared" si="1"/>
        <v>107</v>
      </c>
      <c r="D122" s="17" cm="1">
        <f t="array" ref="D122">IF(Table1[[#This Row],[Months]]&lt;Holding_Period,"",INDEX(Table1[VTI Adj Closed],Table1[[#This Row],[Months]]-Holding_Period+1))</f>
        <v>37.371234999999999</v>
      </c>
      <c r="E122" s="64">
        <f>IF(Table1[[#This Row],[Months]]&lt;Holding_Period,"",RATE(Holding_Period,0,-Table1[[#This Row],[Entry ]],Table1[[#This Row],[VTI Adj Closed]])*12)</f>
        <v>0.21290246278672253</v>
      </c>
    </row>
    <row r="123" spans="1:5">
      <c r="A123" s="16">
        <v>40330</v>
      </c>
      <c r="B123" s="17">
        <v>43.247314000000003</v>
      </c>
      <c r="C123">
        <f t="shared" si="1"/>
        <v>108</v>
      </c>
      <c r="D123" s="17" cm="1">
        <f t="array" ref="D123">IF(Table1[[#This Row],[Months]]&lt;Holding_Period,"",INDEX(Table1[VTI Adj Closed],Table1[[#This Row],[Months]]-Holding_Period+1))</f>
        <v>37.322837999999997</v>
      </c>
      <c r="E123" s="64">
        <f>IF(Table1[[#This Row],[Months]]&lt;Holding_Period,"",RATE(Holding_Period,0,-Table1[[#This Row],[Entry ]],Table1[[#This Row],[VTI Adj Closed]])*12)</f>
        <v>0.14823784048158442</v>
      </c>
    </row>
    <row r="124" spans="1:5">
      <c r="A124" s="16">
        <v>40360</v>
      </c>
      <c r="B124" s="17">
        <v>46.507229000000002</v>
      </c>
      <c r="C124">
        <f t="shared" si="1"/>
        <v>109</v>
      </c>
      <c r="D124" s="17" cm="1">
        <f t="array" ref="D124">IF(Table1[[#This Row],[Months]]&lt;Holding_Period,"",INDEX(Table1[VTI Adj Closed],Table1[[#This Row],[Months]]-Holding_Period+1))</f>
        <v>40.410614000000002</v>
      </c>
      <c r="E124" s="64">
        <f>IF(Table1[[#This Row],[Months]]&lt;Holding_Period,"",RATE(Holding_Period,0,-Table1[[#This Row],[Entry ]],Table1[[#This Row],[VTI Adj Closed]])*12)</f>
        <v>0.1413411996305437</v>
      </c>
    </row>
    <row r="125" spans="1:5">
      <c r="A125" s="16">
        <v>40391</v>
      </c>
      <c r="B125" s="17">
        <v>44.316226999999998</v>
      </c>
      <c r="C125">
        <f t="shared" si="1"/>
        <v>110</v>
      </c>
      <c r="D125" s="17" cm="1">
        <f t="array" ref="D125">IF(Table1[[#This Row],[Months]]&lt;Holding_Period,"",INDEX(Table1[VTI Adj Closed],Table1[[#This Row],[Months]]-Holding_Period+1))</f>
        <v>41.910308999999998</v>
      </c>
      <c r="E125" s="64">
        <f>IF(Table1[[#This Row],[Months]]&lt;Holding_Period,"",RATE(Holding_Period,0,-Table1[[#This Row],[Entry ]],Table1[[#This Row],[VTI Adj Closed]])*12)</f>
        <v>5.5949098332195427E-2</v>
      </c>
    </row>
    <row r="126" spans="1:5">
      <c r="A126" s="16">
        <v>40422</v>
      </c>
      <c r="B126" s="17">
        <v>48.260033</v>
      </c>
      <c r="C126">
        <f t="shared" si="1"/>
        <v>111</v>
      </c>
      <c r="D126" s="17" cm="1">
        <f t="array" ref="D126">IF(Table1[[#This Row],[Months]]&lt;Holding_Period,"",INDEX(Table1[VTI Adj Closed],Table1[[#This Row],[Months]]-Holding_Period+1))</f>
        <v>43.442416999999999</v>
      </c>
      <c r="E126" s="64">
        <f>IF(Table1[[#This Row],[Months]]&lt;Holding_Period,"",RATE(Holding_Period,0,-Table1[[#This Row],[Entry ]],Table1[[#This Row],[VTI Adj Closed]])*12)</f>
        <v>0.10562962035019574</v>
      </c>
    </row>
    <row r="127" spans="1:5">
      <c r="A127" s="16">
        <v>40452</v>
      </c>
      <c r="B127" s="17">
        <v>50.463206999999997</v>
      </c>
      <c r="C127">
        <f t="shared" si="1"/>
        <v>112</v>
      </c>
      <c r="D127" s="17" cm="1">
        <f t="array" ref="D127">IF(Table1[[#This Row],[Months]]&lt;Holding_Period,"",INDEX(Table1[VTI Adj Closed],Table1[[#This Row],[Months]]-Holding_Period+1))</f>
        <v>42.494391999999998</v>
      </c>
      <c r="E127" s="64">
        <f>IF(Table1[[#This Row],[Months]]&lt;Holding_Period,"",RATE(Holding_Period,0,-Table1[[#This Row],[Entry ]],Table1[[#This Row],[VTI Adj Closed]])*12)</f>
        <v>0.17310911776839422</v>
      </c>
    </row>
    <row r="128" spans="1:5">
      <c r="A128" s="16">
        <v>40483</v>
      </c>
      <c r="B128" s="17">
        <v>50.720844</v>
      </c>
      <c r="C128">
        <f t="shared" si="1"/>
        <v>113</v>
      </c>
      <c r="D128" s="17" cm="1">
        <f t="array" ref="D128">IF(Table1[[#This Row],[Months]]&lt;Holding_Period,"",INDEX(Table1[VTI Adj Closed],Table1[[#This Row],[Months]]-Holding_Period+1))</f>
        <v>44.913105000000002</v>
      </c>
      <c r="E128" s="64">
        <f>IF(Table1[[#This Row],[Months]]&lt;Holding_Period,"",RATE(Holding_Period,0,-Table1[[#This Row],[Entry ]],Table1[[#This Row],[VTI Adj Closed]])*12)</f>
        <v>0.12222559503425136</v>
      </c>
    </row>
    <row r="129" spans="1:5">
      <c r="A129" s="16">
        <v>40513</v>
      </c>
      <c r="B129" s="17">
        <v>53.962051000000002</v>
      </c>
      <c r="C129">
        <f t="shared" si="1"/>
        <v>114</v>
      </c>
      <c r="D129" s="17" cm="1">
        <f t="array" ref="D129">IF(Table1[[#This Row],[Months]]&lt;Holding_Period,"",INDEX(Table1[VTI Adj Closed],Table1[[#This Row],[Months]]-Holding_Period+1))</f>
        <v>45.906661999999997</v>
      </c>
      <c r="E129" s="64">
        <f>IF(Table1[[#This Row],[Months]]&lt;Holding_Period,"",RATE(Holding_Period,0,-Table1[[#This Row],[Entry ]],Table1[[#This Row],[VTI Adj Closed]])*12)</f>
        <v>0.16276475964579792</v>
      </c>
    </row>
    <row r="130" spans="1:5">
      <c r="A130" s="16">
        <v>40544</v>
      </c>
      <c r="B130" s="17">
        <v>55.36195</v>
      </c>
      <c r="C130">
        <f t="shared" si="1"/>
        <v>115</v>
      </c>
      <c r="D130" s="17" cm="1">
        <f t="array" ref="D130">IF(Table1[[#This Row],[Months]]&lt;Holding_Period,"",INDEX(Table1[VTI Adj Closed],Table1[[#This Row],[Months]]-Holding_Period+1))</f>
        <v>44.551689000000003</v>
      </c>
      <c r="E130" s="64">
        <f>IF(Table1[[#This Row],[Months]]&lt;Holding_Period,"",RATE(Holding_Period,0,-Table1[[#This Row],[Entry ]],Table1[[#This Row],[VTI Adj Closed]])*12)</f>
        <v>0.21922081812705468</v>
      </c>
    </row>
    <row r="131" spans="1:5">
      <c r="A131" s="16">
        <v>40575</v>
      </c>
      <c r="B131" s="17">
        <v>57.409004000000003</v>
      </c>
      <c r="C131">
        <f t="shared" si="1"/>
        <v>116</v>
      </c>
      <c r="D131" s="17" cm="1">
        <f t="array" ref="D131">IF(Table1[[#This Row],[Months]]&lt;Holding_Period,"",INDEX(Table1[VTI Adj Closed],Table1[[#This Row],[Months]]-Holding_Period+1))</f>
        <v>46.084277999999998</v>
      </c>
      <c r="E131" s="64">
        <f>IF(Table1[[#This Row],[Months]]&lt;Holding_Period,"",RATE(Holding_Period,0,-Table1[[#This Row],[Entry ]],Table1[[#This Row],[VTI Adj Closed]])*12)</f>
        <v>0.22175334653680431</v>
      </c>
    </row>
    <row r="132" spans="1:5">
      <c r="A132" s="16">
        <v>40603</v>
      </c>
      <c r="B132" s="17">
        <v>57.409004000000003</v>
      </c>
      <c r="C132">
        <f t="shared" si="1"/>
        <v>117</v>
      </c>
      <c r="D132" s="17" cm="1">
        <f t="array" ref="D132">IF(Table1[[#This Row],[Months]]&lt;Holding_Period,"",INDEX(Table1[VTI Adj Closed],Table1[[#This Row],[Months]]-Holding_Period+1))</f>
        <v>48.83802</v>
      </c>
      <c r="E132" s="64">
        <f>IF(Table1[[#This Row],[Months]]&lt;Holding_Period,"",RATE(Holding_Period,0,-Table1[[#This Row],[Entry ]],Table1[[#This Row],[VTI Adj Closed]])*12)</f>
        <v>0.16278630311161787</v>
      </c>
    </row>
    <row r="133" spans="1:5">
      <c r="A133" s="16">
        <v>40634</v>
      </c>
      <c r="B133" s="17">
        <v>59.318931999999997</v>
      </c>
      <c r="C133">
        <f t="shared" si="1"/>
        <v>118</v>
      </c>
      <c r="D133" s="17" cm="1">
        <f t="array" ref="D133">IF(Table1[[#This Row],[Months]]&lt;Holding_Period,"",INDEX(Table1[VTI Adj Closed],Table1[[#This Row],[Months]]-Holding_Period+1))</f>
        <v>50.101379000000001</v>
      </c>
      <c r="E133" s="64">
        <f>IF(Table1[[#This Row],[Months]]&lt;Holding_Period,"",RATE(Holding_Period,0,-Table1[[#This Row],[Entry ]],Table1[[#This Row],[VTI Adj Closed]])*12)</f>
        <v>0.17007392675006594</v>
      </c>
    </row>
    <row r="134" spans="1:5">
      <c r="A134" s="16">
        <v>40664</v>
      </c>
      <c r="B134" s="17">
        <v>58.689644000000001</v>
      </c>
      <c r="C134">
        <f t="shared" si="1"/>
        <v>119</v>
      </c>
      <c r="D134" s="17" cm="1">
        <f t="array" ref="D134">IF(Table1[[#This Row],[Months]]&lt;Holding_Period,"",INDEX(Table1[VTI Adj Closed],Table1[[#This Row],[Months]]-Holding_Period+1))</f>
        <v>46.151854999999998</v>
      </c>
      <c r="E134" s="64">
        <f>IF(Table1[[#This Row],[Months]]&lt;Holding_Period,"",RATE(Holding_Period,0,-Table1[[#This Row],[Entry ]],Table1[[#This Row],[VTI Adj Closed]])*12)</f>
        <v>0.24274880680393135</v>
      </c>
    </row>
    <row r="135" spans="1:5">
      <c r="A135" s="16">
        <v>40695</v>
      </c>
      <c r="B135" s="17">
        <v>57.389159999999997</v>
      </c>
      <c r="C135">
        <f t="shared" si="1"/>
        <v>120</v>
      </c>
      <c r="D135" s="17" cm="1">
        <f t="array" ref="D135">IF(Table1[[#This Row],[Months]]&lt;Holding_Period,"",INDEX(Table1[VTI Adj Closed],Table1[[#This Row],[Months]]-Holding_Period+1))</f>
        <v>43.247314000000003</v>
      </c>
      <c r="E135" s="64">
        <f>IF(Table1[[#This Row],[Months]]&lt;Holding_Period,"",RATE(Holding_Period,0,-Table1[[#This Row],[Entry ]],Table1[[#This Row],[VTI Adj Closed]])*12)</f>
        <v>0.28628183636200322</v>
      </c>
    </row>
    <row r="136" spans="1:5">
      <c r="A136" s="16">
        <v>40725</v>
      </c>
      <c r="B136" s="17">
        <v>56.327469000000001</v>
      </c>
      <c r="C136">
        <f t="shared" si="1"/>
        <v>121</v>
      </c>
      <c r="D136" s="17" cm="1">
        <f t="array" ref="D136">IF(Table1[[#This Row],[Months]]&lt;Holding_Period,"",INDEX(Table1[VTI Adj Closed],Table1[[#This Row],[Months]]-Holding_Period+1))</f>
        <v>46.507229000000002</v>
      </c>
      <c r="E136" s="64">
        <f>IF(Table1[[#This Row],[Months]]&lt;Holding_Period,"",RATE(Holding_Period,0,-Table1[[#This Row],[Entry ]],Table1[[#This Row],[VTI Adj Closed]])*12)</f>
        <v>0.19311192807458361</v>
      </c>
    </row>
    <row r="137" spans="1:5">
      <c r="A137" s="16">
        <v>40756</v>
      </c>
      <c r="B137" s="17">
        <v>52.898102000000002</v>
      </c>
      <c r="C137">
        <f t="shared" si="1"/>
        <v>122</v>
      </c>
      <c r="D137" s="17" cm="1">
        <f t="array" ref="D137">IF(Table1[[#This Row],[Months]]&lt;Holding_Period,"",INDEX(Table1[VTI Adj Closed],Table1[[#This Row],[Months]]-Holding_Period+1))</f>
        <v>44.316226999999998</v>
      </c>
      <c r="E137" s="64">
        <f>IF(Table1[[#This Row],[Months]]&lt;Holding_Period,"",RATE(Holding_Period,0,-Table1[[#This Row],[Entry ]],Table1[[#This Row],[VTI Adj Closed]])*12)</f>
        <v>0.17832861403722561</v>
      </c>
    </row>
    <row r="138" spans="1:5">
      <c r="A138" s="16">
        <v>40787</v>
      </c>
      <c r="B138" s="17">
        <v>48.634571000000001</v>
      </c>
      <c r="C138">
        <f t="shared" si="1"/>
        <v>123</v>
      </c>
      <c r="D138" s="17" cm="1">
        <f t="array" ref="D138">IF(Table1[[#This Row],[Months]]&lt;Holding_Period,"",INDEX(Table1[VTI Adj Closed],Table1[[#This Row],[Months]]-Holding_Period+1))</f>
        <v>48.260033</v>
      </c>
      <c r="E138" s="64">
        <f>IF(Table1[[#This Row],[Months]]&lt;Holding_Period,"",RATE(Holding_Period,0,-Table1[[#This Row],[Entry ]],Table1[[#This Row],[VTI Adj Closed]])*12)</f>
        <v>7.7333622832872016E-3</v>
      </c>
    </row>
    <row r="139" spans="1:5">
      <c r="A139" s="16">
        <v>40817</v>
      </c>
      <c r="B139" s="17">
        <v>54.449406000000003</v>
      </c>
      <c r="C139">
        <f t="shared" si="1"/>
        <v>124</v>
      </c>
      <c r="D139" s="17" cm="1">
        <f t="array" ref="D139">IF(Table1[[#This Row],[Months]]&lt;Holding_Period,"",INDEX(Table1[VTI Adj Closed],Table1[[#This Row],[Months]]-Holding_Period+1))</f>
        <v>50.463206999999997</v>
      </c>
      <c r="E139" s="64">
        <f>IF(Table1[[#This Row],[Months]]&lt;Holding_Period,"",RATE(Holding_Period,0,-Table1[[#This Row],[Entry ]],Table1[[#This Row],[VTI Adj Closed]])*12)</f>
        <v>7.6268793683827649E-2</v>
      </c>
    </row>
    <row r="140" spans="1:5">
      <c r="A140" s="16">
        <v>40848</v>
      </c>
      <c r="B140" s="17">
        <v>54.246116999999998</v>
      </c>
      <c r="C140">
        <f t="shared" si="1"/>
        <v>125</v>
      </c>
      <c r="D140" s="17" cm="1">
        <f t="array" ref="D140">IF(Table1[[#This Row],[Months]]&lt;Holding_Period,"",INDEX(Table1[VTI Adj Closed],Table1[[#This Row],[Months]]-Holding_Period+1))</f>
        <v>50.720844</v>
      </c>
      <c r="E140" s="64">
        <f>IF(Table1[[#This Row],[Months]]&lt;Holding_Period,"",RATE(Holding_Period,0,-Table1[[#This Row],[Entry ]],Table1[[#This Row],[VTI Adj Closed]])*12)</f>
        <v>6.7382944087140628E-2</v>
      </c>
    </row>
    <row r="141" spans="1:5">
      <c r="A141" s="16">
        <v>40878</v>
      </c>
      <c r="B141" s="17">
        <v>54.466351000000003</v>
      </c>
      <c r="C141">
        <f t="shared" si="1"/>
        <v>126</v>
      </c>
      <c r="D141" s="17" cm="1">
        <f t="array" ref="D141">IF(Table1[[#This Row],[Months]]&lt;Holding_Period,"",INDEX(Table1[VTI Adj Closed],Table1[[#This Row],[Months]]-Holding_Period+1))</f>
        <v>53.962051000000002</v>
      </c>
      <c r="E141" s="64">
        <f>IF(Table1[[#This Row],[Months]]&lt;Holding_Period,"",RATE(Holding_Period,0,-Table1[[#This Row],[Entry ]],Table1[[#This Row],[VTI Adj Closed]])*12)</f>
        <v>9.305664171318756E-3</v>
      </c>
    </row>
    <row r="142" spans="1:5">
      <c r="A142" s="16">
        <v>40909</v>
      </c>
      <c r="B142" s="17">
        <v>57.553288000000002</v>
      </c>
      <c r="C142">
        <f t="shared" si="1"/>
        <v>127</v>
      </c>
      <c r="D142" s="17" cm="1">
        <f t="array" ref="D142">IF(Table1[[#This Row],[Months]]&lt;Holding_Period,"",INDEX(Table1[VTI Adj Closed],Table1[[#This Row],[Months]]-Holding_Period+1))</f>
        <v>55.36195</v>
      </c>
      <c r="E142" s="64">
        <f>IF(Table1[[#This Row],[Months]]&lt;Holding_Period,"",RATE(Holding_Period,0,-Table1[[#This Row],[Entry ]],Table1[[#This Row],[VTI Adj Closed]])*12)</f>
        <v>3.8881586792359021E-2</v>
      </c>
    </row>
    <row r="143" spans="1:5">
      <c r="A143" s="16">
        <v>40940</v>
      </c>
      <c r="B143" s="17">
        <v>59.981144</v>
      </c>
      <c r="C143">
        <f t="shared" si="1"/>
        <v>128</v>
      </c>
      <c r="D143" s="17" cm="1">
        <f t="array" ref="D143">IF(Table1[[#This Row],[Months]]&lt;Holding_Period,"",INDEX(Table1[VTI Adj Closed],Table1[[#This Row],[Months]]-Holding_Period+1))</f>
        <v>57.409004000000003</v>
      </c>
      <c r="E143" s="64">
        <f>IF(Table1[[#This Row],[Months]]&lt;Holding_Period,"",RATE(Holding_Period,0,-Table1[[#This Row],[Entry ]],Table1[[#This Row],[VTI Adj Closed]])*12)</f>
        <v>4.3909229783394593E-2</v>
      </c>
    </row>
    <row r="144" spans="1:5">
      <c r="A144" s="16">
        <v>40969</v>
      </c>
      <c r="B144" s="17">
        <v>61.557129000000003</v>
      </c>
      <c r="C144">
        <f t="shared" si="1"/>
        <v>129</v>
      </c>
      <c r="D144" s="17" cm="1">
        <f t="array" ref="D144">IF(Table1[[#This Row],[Months]]&lt;Holding_Period,"",INDEX(Table1[VTI Adj Closed],Table1[[#This Row],[Months]]-Holding_Period+1))</f>
        <v>57.409004000000003</v>
      </c>
      <c r="E144" s="64">
        <f>IF(Table1[[#This Row],[Months]]&lt;Holding_Period,"",RATE(Holding_Period,0,-Table1[[#This Row],[Entry ]],Table1[[#This Row],[VTI Adj Closed]])*12)</f>
        <v>6.996770420747897E-2</v>
      </c>
    </row>
    <row r="145" spans="1:5">
      <c r="A145" s="16">
        <v>41000</v>
      </c>
      <c r="B145" s="17">
        <v>61.427638999999999</v>
      </c>
      <c r="C145">
        <f t="shared" ref="C145:C208" si="2">C144+1</f>
        <v>130</v>
      </c>
      <c r="D145" s="17" cm="1">
        <f t="array" ref="D145">IF(Table1[[#This Row],[Months]]&lt;Holding_Period,"",INDEX(Table1[VTI Adj Closed],Table1[[#This Row],[Months]]-Holding_Period+1))</f>
        <v>59.318931999999997</v>
      </c>
      <c r="E145" s="64">
        <f>IF(Table1[[#This Row],[Months]]&lt;Holding_Period,"",RATE(Holding_Period,0,-Table1[[#This Row],[Entry ]],Table1[[#This Row],[VTI Adj Closed]])*12)</f>
        <v>3.4982258439012093E-2</v>
      </c>
    </row>
    <row r="146" spans="1:5">
      <c r="A146" s="16">
        <v>41030</v>
      </c>
      <c r="B146" s="17">
        <v>57.603400999999998</v>
      </c>
      <c r="C146">
        <f t="shared" si="2"/>
        <v>131</v>
      </c>
      <c r="D146" s="17" cm="1">
        <f t="array" ref="D146">IF(Table1[[#This Row],[Months]]&lt;Holding_Period,"",INDEX(Table1[VTI Adj Closed],Table1[[#This Row],[Months]]-Holding_Period+1))</f>
        <v>58.689644000000001</v>
      </c>
      <c r="E146" s="64">
        <f>IF(Table1[[#This Row],[Months]]&lt;Holding_Period,"",RATE(Holding_Period,0,-Table1[[#This Row],[Entry ]],Table1[[#This Row],[VTI Adj Closed]])*12)</f>
        <v>-1.8667143347740649E-2</v>
      </c>
    </row>
    <row r="147" spans="1:5">
      <c r="A147" s="16">
        <v>41061</v>
      </c>
      <c r="B147" s="17">
        <v>59.631027000000003</v>
      </c>
      <c r="C147">
        <f t="shared" si="2"/>
        <v>132</v>
      </c>
      <c r="D147" s="17" cm="1">
        <f t="array" ref="D147">IF(Table1[[#This Row],[Months]]&lt;Holding_Period,"",INDEX(Table1[VTI Adj Closed],Table1[[#This Row],[Months]]-Holding_Period+1))</f>
        <v>57.389159999999997</v>
      </c>
      <c r="E147" s="64">
        <f>IF(Table1[[#This Row],[Months]]&lt;Holding_Period,"",RATE(Holding_Period,0,-Table1[[#This Row],[Entry ]],Table1[[#This Row],[VTI Adj Closed]])*12)</f>
        <v>3.8381841879568189E-2</v>
      </c>
    </row>
    <row r="148" spans="1:5">
      <c r="A148" s="16">
        <v>41091</v>
      </c>
      <c r="B148" s="17">
        <v>60.458035000000002</v>
      </c>
      <c r="C148">
        <f t="shared" si="2"/>
        <v>133</v>
      </c>
      <c r="D148" s="17" cm="1">
        <f t="array" ref="D148">IF(Table1[[#This Row],[Months]]&lt;Holding_Period,"",INDEX(Table1[VTI Adj Closed],Table1[[#This Row],[Months]]-Holding_Period+1))</f>
        <v>56.327469000000001</v>
      </c>
      <c r="E148" s="64">
        <f>IF(Table1[[#This Row],[Months]]&lt;Holding_Period,"",RATE(Holding_Period,0,-Table1[[#This Row],[Entry ]],Table1[[#This Row],[VTI Adj Closed]])*12)</f>
        <v>7.097624487892859E-2</v>
      </c>
    </row>
    <row r="149" spans="1:5">
      <c r="A149" s="16">
        <v>41122</v>
      </c>
      <c r="B149" s="17">
        <v>62.091819999999998</v>
      </c>
      <c r="C149">
        <f t="shared" si="2"/>
        <v>134</v>
      </c>
      <c r="D149" s="17" cm="1">
        <f t="array" ref="D149">IF(Table1[[#This Row],[Months]]&lt;Holding_Period,"",INDEX(Table1[VTI Adj Closed],Table1[[#This Row],[Months]]-Holding_Period+1))</f>
        <v>52.898102000000002</v>
      </c>
      <c r="E149" s="64">
        <f>IF(Table1[[#This Row],[Months]]&lt;Holding_Period,"",RATE(Holding_Period,0,-Table1[[#This Row],[Entry ]],Table1[[#This Row],[VTI Adj Closed]])*12)</f>
        <v>0.16132153653220432</v>
      </c>
    </row>
    <row r="150" spans="1:5">
      <c r="A150" s="16">
        <v>41153</v>
      </c>
      <c r="B150" s="17">
        <v>63.330055000000002</v>
      </c>
      <c r="C150">
        <f t="shared" si="2"/>
        <v>135</v>
      </c>
      <c r="D150" s="17" cm="1">
        <f t="array" ref="D150">IF(Table1[[#This Row],[Months]]&lt;Holding_Period,"",INDEX(Table1[VTI Adj Closed],Table1[[#This Row],[Months]]-Holding_Period+1))</f>
        <v>48.634571000000001</v>
      </c>
      <c r="E150" s="64">
        <f>IF(Table1[[#This Row],[Months]]&lt;Holding_Period,"",RATE(Holding_Period,0,-Table1[[#This Row],[Entry ]],Table1[[#This Row],[VTI Adj Closed]])*12)</f>
        <v>0.26695138226346049</v>
      </c>
    </row>
    <row r="151" spans="1:5">
      <c r="A151" s="16">
        <v>41183</v>
      </c>
      <c r="B151" s="17">
        <v>62.489539999999998</v>
      </c>
      <c r="C151">
        <f t="shared" si="2"/>
        <v>136</v>
      </c>
      <c r="D151" s="17" cm="1">
        <f t="array" ref="D151">IF(Table1[[#This Row],[Months]]&lt;Holding_Period,"",INDEX(Table1[VTI Adj Closed],Table1[[#This Row],[Months]]-Holding_Period+1))</f>
        <v>54.449406000000003</v>
      </c>
      <c r="E151" s="64">
        <f>IF(Table1[[#This Row],[Months]]&lt;Holding_Period,"",RATE(Holding_Period,0,-Table1[[#This Row],[Entry ]],Table1[[#This Row],[VTI Adj Closed]])*12)</f>
        <v>0.13852064134187902</v>
      </c>
    </row>
    <row r="152" spans="1:5">
      <c r="A152" s="16">
        <v>41214</v>
      </c>
      <c r="B152" s="17">
        <v>62.973407999999999</v>
      </c>
      <c r="C152">
        <f t="shared" si="2"/>
        <v>137</v>
      </c>
      <c r="D152" s="17" cm="1">
        <f t="array" ref="D152">IF(Table1[[#This Row],[Months]]&lt;Holding_Period,"",INDEX(Table1[VTI Adj Closed],Table1[[#This Row],[Months]]-Holding_Period+1))</f>
        <v>54.246116999999998</v>
      </c>
      <c r="E152" s="64">
        <f>IF(Table1[[#This Row],[Months]]&lt;Holding_Period,"",RATE(Holding_Period,0,-Table1[[#This Row],[Entry ]],Table1[[#This Row],[VTI Adj Closed]])*12)</f>
        <v>0.15011227486326267</v>
      </c>
    </row>
    <row r="153" spans="1:5">
      <c r="A153" s="16">
        <v>41244</v>
      </c>
      <c r="B153" s="17">
        <v>63.319042000000003</v>
      </c>
      <c r="C153">
        <f t="shared" si="2"/>
        <v>138</v>
      </c>
      <c r="D153" s="17" cm="1">
        <f t="array" ref="D153">IF(Table1[[#This Row],[Months]]&lt;Holding_Period,"",INDEX(Table1[VTI Adj Closed],Table1[[#This Row],[Months]]-Holding_Period+1))</f>
        <v>54.466351000000003</v>
      </c>
      <c r="E153" s="64">
        <f>IF(Table1[[#This Row],[Months]]&lt;Holding_Period,"",RATE(Holding_Period,0,-Table1[[#This Row],[Entry ]],Table1[[#This Row],[VTI Adj Closed]])*12)</f>
        <v>0.15155202597673273</v>
      </c>
    </row>
    <row r="154" spans="1:5">
      <c r="A154" s="16">
        <v>41275</v>
      </c>
      <c r="B154" s="17">
        <v>67.243285999999998</v>
      </c>
      <c r="C154">
        <f t="shared" si="2"/>
        <v>139</v>
      </c>
      <c r="D154" s="17" cm="1">
        <f t="array" ref="D154">IF(Table1[[#This Row],[Months]]&lt;Holding_Period,"",INDEX(Table1[VTI Adj Closed],Table1[[#This Row],[Months]]-Holding_Period+1))</f>
        <v>57.553288000000002</v>
      </c>
      <c r="E154" s="64">
        <f>IF(Table1[[#This Row],[Months]]&lt;Holding_Period,"",RATE(Holding_Period,0,-Table1[[#This Row],[Entry ]],Table1[[#This Row],[VTI Adj Closed]])*12)</f>
        <v>0.1566191688689279</v>
      </c>
    </row>
    <row r="155" spans="1:5">
      <c r="A155" s="16">
        <v>41306</v>
      </c>
      <c r="B155" s="17">
        <v>68.105063999999999</v>
      </c>
      <c r="C155">
        <f t="shared" si="2"/>
        <v>140</v>
      </c>
      <c r="D155" s="17" cm="1">
        <f t="array" ref="D155">IF(Table1[[#This Row],[Months]]&lt;Holding_Period,"",INDEX(Table1[VTI Adj Closed],Table1[[#This Row],[Months]]-Holding_Period+1))</f>
        <v>59.981144</v>
      </c>
      <c r="E155" s="64">
        <f>IF(Table1[[#This Row],[Months]]&lt;Holding_Period,"",RATE(Holding_Period,0,-Table1[[#This Row],[Entry ]],Table1[[#This Row],[VTI Adj Closed]])*12)</f>
        <v>0.12769597113956649</v>
      </c>
    </row>
    <row r="156" spans="1:5">
      <c r="A156" s="16">
        <v>41334</v>
      </c>
      <c r="B156" s="17">
        <v>70.472717000000003</v>
      </c>
      <c r="C156">
        <f t="shared" si="2"/>
        <v>141</v>
      </c>
      <c r="D156" s="17" cm="1">
        <f t="array" ref="D156">IF(Table1[[#This Row],[Months]]&lt;Holding_Period,"",INDEX(Table1[VTI Adj Closed],Table1[[#This Row],[Months]]-Holding_Period+1))</f>
        <v>61.557129000000003</v>
      </c>
      <c r="E156" s="64">
        <f>IF(Table1[[#This Row],[Months]]&lt;Holding_Period,"",RATE(Holding_Period,0,-Table1[[#This Row],[Entry ]],Table1[[#This Row],[VTI Adj Closed]])*12)</f>
        <v>0.13602514627759726</v>
      </c>
    </row>
    <row r="157" spans="1:5">
      <c r="A157" s="16">
        <v>41365</v>
      </c>
      <c r="B157" s="17">
        <v>71.930938999999995</v>
      </c>
      <c r="C157">
        <f t="shared" si="2"/>
        <v>142</v>
      </c>
      <c r="D157" s="17" cm="1">
        <f t="array" ref="D157">IF(Table1[[#This Row],[Months]]&lt;Holding_Period,"",INDEX(Table1[VTI Adj Closed],Table1[[#This Row],[Months]]-Holding_Period+1))</f>
        <v>61.427638999999999</v>
      </c>
      <c r="E157" s="64">
        <f>IF(Table1[[#This Row],[Months]]&lt;Holding_Period,"",RATE(Holding_Period,0,-Table1[[#This Row],[Entry ]],Table1[[#This Row],[VTI Adj Closed]])*12)</f>
        <v>0.15888931245552307</v>
      </c>
    </row>
    <row r="158" spans="1:5">
      <c r="A158" s="16">
        <v>41395</v>
      </c>
      <c r="B158" s="17">
        <v>73.688582999999994</v>
      </c>
      <c r="C158">
        <f t="shared" si="2"/>
        <v>143</v>
      </c>
      <c r="D158" s="17" cm="1">
        <f t="array" ref="D158">IF(Table1[[#This Row],[Months]]&lt;Holding_Period,"",INDEX(Table1[VTI Adj Closed],Table1[[#This Row],[Months]]-Holding_Period+1))</f>
        <v>57.603400999999998</v>
      </c>
      <c r="E158" s="64">
        <f>IF(Table1[[#This Row],[Months]]&lt;Holding_Period,"",RATE(Holding_Period,0,-Table1[[#This Row],[Entry ]],Table1[[#This Row],[VTI Adj Closed]])*12)</f>
        <v>0.2488106009775975</v>
      </c>
    </row>
    <row r="159" spans="1:5">
      <c r="A159" s="16">
        <v>41426</v>
      </c>
      <c r="B159" s="17">
        <v>72.289482000000007</v>
      </c>
      <c r="C159">
        <f t="shared" si="2"/>
        <v>144</v>
      </c>
      <c r="D159" s="17" cm="1">
        <f t="array" ref="D159">IF(Table1[[#This Row],[Months]]&lt;Holding_Period,"",INDEX(Table1[VTI Adj Closed],Table1[[#This Row],[Months]]-Holding_Period+1))</f>
        <v>59.631027000000003</v>
      </c>
      <c r="E159" s="64">
        <f>IF(Table1[[#This Row],[Months]]&lt;Holding_Period,"",RATE(Holding_Period,0,-Table1[[#This Row],[Entry ]],Table1[[#This Row],[VTI Adj Closed]])*12)</f>
        <v>0.19405495763933067</v>
      </c>
    </row>
    <row r="160" spans="1:5">
      <c r="A160" s="16">
        <v>41456</v>
      </c>
      <c r="B160" s="17">
        <v>76.802970999999999</v>
      </c>
      <c r="C160">
        <f t="shared" si="2"/>
        <v>145</v>
      </c>
      <c r="D160" s="17" cm="1">
        <f t="array" ref="D160">IF(Table1[[#This Row],[Months]]&lt;Holding_Period,"",INDEX(Table1[VTI Adj Closed],Table1[[#This Row],[Months]]-Holding_Period+1))</f>
        <v>60.458035000000002</v>
      </c>
      <c r="E160" s="64">
        <f>IF(Table1[[#This Row],[Months]]&lt;Holding_Period,"",RATE(Holding_Period,0,-Table1[[#This Row],[Entry ]],Table1[[#This Row],[VTI Adj Closed]])*12)</f>
        <v>0.24169567237034148</v>
      </c>
    </row>
    <row r="161" spans="1:5">
      <c r="A161" s="16">
        <v>41487</v>
      </c>
      <c r="B161" s="17">
        <v>74.474830999999995</v>
      </c>
      <c r="C161">
        <f t="shared" si="2"/>
        <v>146</v>
      </c>
      <c r="D161" s="17" cm="1">
        <f t="array" ref="D161">IF(Table1[[#This Row],[Months]]&lt;Holding_Period,"",INDEX(Table1[VTI Adj Closed],Table1[[#This Row],[Months]]-Holding_Period+1))</f>
        <v>62.091819999999998</v>
      </c>
      <c r="E161" s="64">
        <f>IF(Table1[[#This Row],[Months]]&lt;Holding_Period,"",RATE(Holding_Period,0,-Table1[[#This Row],[Entry ]],Table1[[#This Row],[VTI Adj Closed]])*12)</f>
        <v>0.18323180523437019</v>
      </c>
    </row>
    <row r="162" spans="1:5">
      <c r="A162" s="16">
        <v>41518</v>
      </c>
      <c r="B162" s="17">
        <v>77.005043000000001</v>
      </c>
      <c r="C162">
        <f t="shared" si="2"/>
        <v>147</v>
      </c>
      <c r="D162" s="17" cm="1">
        <f t="array" ref="D162">IF(Table1[[#This Row],[Months]]&lt;Holding_Period,"",INDEX(Table1[VTI Adj Closed],Table1[[#This Row],[Months]]-Holding_Period+1))</f>
        <v>63.330055000000002</v>
      </c>
      <c r="E162" s="64">
        <f>IF(Table1[[#This Row],[Months]]&lt;Holding_Period,"",RATE(Holding_Period,0,-Table1[[#This Row],[Entry ]],Table1[[#This Row],[VTI Adj Closed]])*12)</f>
        <v>0.19711226713604901</v>
      </c>
    </row>
    <row r="163" spans="1:5">
      <c r="A163" s="16">
        <v>41548</v>
      </c>
      <c r="B163" s="17">
        <v>80.678855999999996</v>
      </c>
      <c r="C163">
        <f t="shared" si="2"/>
        <v>148</v>
      </c>
      <c r="D163" s="17" cm="1">
        <f t="array" ref="D163">IF(Table1[[#This Row],[Months]]&lt;Holding_Period,"",INDEX(Table1[VTI Adj Closed],Table1[[#This Row],[Months]]-Holding_Period+1))</f>
        <v>62.489539999999998</v>
      </c>
      <c r="E163" s="64">
        <f>IF(Table1[[#This Row],[Months]]&lt;Holding_Period,"",RATE(Holding_Period,0,-Table1[[#This Row],[Entry ]],Table1[[#This Row],[VTI Adj Closed]])*12)</f>
        <v>0.25821628151702819</v>
      </c>
    </row>
    <row r="164" spans="1:5">
      <c r="A164" s="16">
        <v>41579</v>
      </c>
      <c r="B164" s="17">
        <v>82.859359999999995</v>
      </c>
      <c r="C164">
        <f t="shared" si="2"/>
        <v>149</v>
      </c>
      <c r="D164" s="17" cm="1">
        <f t="array" ref="D164">IF(Table1[[#This Row],[Months]]&lt;Holding_Period,"",INDEX(Table1[VTI Adj Closed],Table1[[#This Row],[Months]]-Holding_Period+1))</f>
        <v>62.973407999999999</v>
      </c>
      <c r="E164" s="64">
        <f>IF(Table1[[#This Row],[Months]]&lt;Holding_Period,"",RATE(Holding_Period,0,-Table1[[#This Row],[Entry ]],Table1[[#This Row],[VTI Adj Closed]])*12)</f>
        <v>0.27759427210467291</v>
      </c>
    </row>
    <row r="165" spans="1:5">
      <c r="A165" s="16">
        <v>41609</v>
      </c>
      <c r="B165" s="17">
        <v>84.677932999999996</v>
      </c>
      <c r="C165">
        <f t="shared" si="2"/>
        <v>150</v>
      </c>
      <c r="D165" s="17" cm="1">
        <f t="array" ref="D165">IF(Table1[[#This Row],[Months]]&lt;Holding_Period,"",INDEX(Table1[VTI Adj Closed],Table1[[#This Row],[Months]]-Holding_Period+1))</f>
        <v>63.319042000000003</v>
      </c>
      <c r="E165" s="64">
        <f>IF(Table1[[#This Row],[Months]]&lt;Holding_Period,"",RATE(Holding_Period,0,-Table1[[#This Row],[Entry ]],Table1[[#This Row],[VTI Adj Closed]])*12)</f>
        <v>0.29421787893172413</v>
      </c>
    </row>
    <row r="166" spans="1:5">
      <c r="A166" s="16">
        <v>41640</v>
      </c>
      <c r="B166" s="17">
        <v>82.426475999999994</v>
      </c>
      <c r="C166">
        <f t="shared" si="2"/>
        <v>151</v>
      </c>
      <c r="D166" s="17" cm="1">
        <f t="array" ref="D166">IF(Table1[[#This Row],[Months]]&lt;Holding_Period,"",INDEX(Table1[VTI Adj Closed],Table1[[#This Row],[Months]]-Holding_Period+1))</f>
        <v>67.243285999999998</v>
      </c>
      <c r="E166" s="64">
        <f>IF(Table1[[#This Row],[Months]]&lt;Holding_Period,"",RATE(Holding_Period,0,-Table1[[#This Row],[Entry ]],Table1[[#This Row],[VTI Adj Closed]])*12)</f>
        <v>0.20532635613243766</v>
      </c>
    </row>
    <row r="167" spans="1:5">
      <c r="A167" s="16">
        <v>41671</v>
      </c>
      <c r="B167" s="17">
        <v>86.437759</v>
      </c>
      <c r="C167">
        <f t="shared" si="2"/>
        <v>152</v>
      </c>
      <c r="D167" s="17" cm="1">
        <f t="array" ref="D167">IF(Table1[[#This Row],[Months]]&lt;Holding_Period,"",INDEX(Table1[VTI Adj Closed],Table1[[#This Row],[Months]]-Holding_Period+1))</f>
        <v>68.105063999999999</v>
      </c>
      <c r="E167" s="64">
        <f>IF(Table1[[#This Row],[Months]]&lt;Holding_Period,"",RATE(Holding_Period,0,-Table1[[#This Row],[Entry ]],Table1[[#This Row],[VTI Adj Closed]])*12)</f>
        <v>0.24075636012759638</v>
      </c>
    </row>
    <row r="168" spans="1:5">
      <c r="A168" s="16">
        <v>41699</v>
      </c>
      <c r="B168" s="17">
        <v>86.499877999999995</v>
      </c>
      <c r="C168">
        <f t="shared" si="2"/>
        <v>153</v>
      </c>
      <c r="D168" s="17" cm="1">
        <f t="array" ref="D168">IF(Table1[[#This Row],[Months]]&lt;Holding_Period,"",INDEX(Table1[VTI Adj Closed],Table1[[#This Row],[Months]]-Holding_Period+1))</f>
        <v>70.472717000000003</v>
      </c>
      <c r="E168" s="64">
        <f>IF(Table1[[#This Row],[Months]]&lt;Holding_Period,"",RATE(Holding_Period,0,-Table1[[#This Row],[Entry ]],Table1[[#This Row],[VTI Adj Closed]])*12)</f>
        <v>0.20667699355154331</v>
      </c>
    </row>
    <row r="169" spans="1:5">
      <c r="A169" s="16">
        <v>41730</v>
      </c>
      <c r="B169" s="17">
        <v>86.931533999999999</v>
      </c>
      <c r="C169">
        <f t="shared" si="2"/>
        <v>154</v>
      </c>
      <c r="D169" s="17" cm="1">
        <f t="array" ref="D169">IF(Table1[[#This Row],[Months]]&lt;Holding_Period,"",INDEX(Table1[VTI Adj Closed],Table1[[#This Row],[Months]]-Holding_Period+1))</f>
        <v>71.930938999999995</v>
      </c>
      <c r="E169" s="64">
        <f>IF(Table1[[#This Row],[Months]]&lt;Holding_Period,"",RATE(Holding_Period,0,-Table1[[#This Row],[Entry ]],Table1[[#This Row],[VTI Adj Closed]])*12)</f>
        <v>0.19091717018261622</v>
      </c>
    </row>
    <row r="170" spans="1:5">
      <c r="A170" s="16">
        <v>41760</v>
      </c>
      <c r="B170" s="17">
        <v>88.758751000000004</v>
      </c>
      <c r="C170">
        <f t="shared" si="2"/>
        <v>155</v>
      </c>
      <c r="D170" s="17" cm="1">
        <f t="array" ref="D170">IF(Table1[[#This Row],[Months]]&lt;Holding_Period,"",INDEX(Table1[VTI Adj Closed],Table1[[#This Row],[Months]]-Holding_Period+1))</f>
        <v>73.688582999999994</v>
      </c>
      <c r="E170" s="64">
        <f>IF(Table1[[#This Row],[Months]]&lt;Holding_Period,"",RATE(Holding_Period,0,-Table1[[#This Row],[Entry ]],Table1[[#This Row],[VTI Adj Closed]])*12)</f>
        <v>0.18752428614615463</v>
      </c>
    </row>
    <row r="171" spans="1:5">
      <c r="A171" s="16">
        <v>41791</v>
      </c>
      <c r="B171" s="17">
        <v>90.710762000000003</v>
      </c>
      <c r="C171">
        <f t="shared" si="2"/>
        <v>156</v>
      </c>
      <c r="D171" s="17" cm="1">
        <f t="array" ref="D171">IF(Table1[[#This Row],[Months]]&lt;Holding_Period,"",INDEX(Table1[VTI Adj Closed],Table1[[#This Row],[Months]]-Holding_Period+1))</f>
        <v>72.289482000000007</v>
      </c>
      <c r="E171" s="64">
        <f>IF(Table1[[#This Row],[Months]]&lt;Holding_Period,"",RATE(Holding_Period,0,-Table1[[#This Row],[Entry ]],Table1[[#This Row],[VTI Adj Closed]])*12)</f>
        <v>0.22915795746339204</v>
      </c>
    </row>
    <row r="172" spans="1:5">
      <c r="A172" s="16">
        <v>41821</v>
      </c>
      <c r="B172" s="17">
        <v>89.268433000000002</v>
      </c>
      <c r="C172">
        <f t="shared" si="2"/>
        <v>157</v>
      </c>
      <c r="D172" s="17" cm="1">
        <f t="array" ref="D172">IF(Table1[[#This Row],[Months]]&lt;Holding_Period,"",INDEX(Table1[VTI Adj Closed],Table1[[#This Row],[Months]]-Holding_Period+1))</f>
        <v>76.802970999999999</v>
      </c>
      <c r="E172" s="64">
        <f>IF(Table1[[#This Row],[Months]]&lt;Holding_Period,"",RATE(Holding_Period,0,-Table1[[#This Row],[Entry ]],Table1[[#This Row],[VTI Adj Closed]])*12)</f>
        <v>0.15135112197386205</v>
      </c>
    </row>
    <row r="173" spans="1:5">
      <c r="A173" s="16">
        <v>41852</v>
      </c>
      <c r="B173" s="17">
        <v>92.973770000000002</v>
      </c>
      <c r="C173">
        <f t="shared" si="2"/>
        <v>158</v>
      </c>
      <c r="D173" s="17" cm="1">
        <f t="array" ref="D173">IF(Table1[[#This Row],[Months]]&lt;Holding_Period,"",INDEX(Table1[VTI Adj Closed],Table1[[#This Row],[Months]]-Holding_Period+1))</f>
        <v>74.474830999999995</v>
      </c>
      <c r="E173" s="64">
        <f>IF(Table1[[#This Row],[Months]]&lt;Holding_Period,"",RATE(Holding_Period,0,-Table1[[#This Row],[Entry ]],Table1[[#This Row],[VTI Adj Closed]])*12)</f>
        <v>0.22391971847946818</v>
      </c>
    </row>
    <row r="174" spans="1:5">
      <c r="A174" s="16">
        <v>41883</v>
      </c>
      <c r="B174" s="17">
        <v>90.610946999999996</v>
      </c>
      <c r="C174">
        <f t="shared" si="2"/>
        <v>159</v>
      </c>
      <c r="D174" s="17" cm="1">
        <f t="array" ref="D174">IF(Table1[[#This Row],[Months]]&lt;Holding_Period,"",INDEX(Table1[VTI Adj Closed],Table1[[#This Row],[Months]]-Holding_Period+1))</f>
        <v>77.005043000000001</v>
      </c>
      <c r="E174" s="64">
        <f>IF(Table1[[#This Row],[Months]]&lt;Holding_Period,"",RATE(Holding_Period,0,-Table1[[#This Row],[Entry ]],Table1[[#This Row],[VTI Adj Closed]])*12)</f>
        <v>0.16381214876762856</v>
      </c>
    </row>
    <row r="175" spans="1:5">
      <c r="A175" s="16">
        <v>41913</v>
      </c>
      <c r="B175" s="17">
        <v>93.523933</v>
      </c>
      <c r="C175">
        <f t="shared" si="2"/>
        <v>160</v>
      </c>
      <c r="D175" s="17" cm="1">
        <f t="array" ref="D175">IF(Table1[[#This Row],[Months]]&lt;Holding_Period,"",INDEX(Table1[VTI Adj Closed],Table1[[#This Row],[Months]]-Holding_Period+1))</f>
        <v>80.678855999999996</v>
      </c>
      <c r="E175" s="64">
        <f>IF(Table1[[#This Row],[Months]]&lt;Holding_Period,"",RATE(Holding_Period,0,-Table1[[#This Row],[Entry ]],Table1[[#This Row],[VTI Adj Closed]])*12)</f>
        <v>0.14865405499135856</v>
      </c>
    </row>
    <row r="176" spans="1:5">
      <c r="A176" s="16">
        <v>41944</v>
      </c>
      <c r="B176" s="17">
        <v>95.843597000000003</v>
      </c>
      <c r="C176">
        <f t="shared" si="2"/>
        <v>161</v>
      </c>
      <c r="D176" s="17" cm="1">
        <f t="array" ref="D176">IF(Table1[[#This Row],[Months]]&lt;Holding_Period,"",INDEX(Table1[VTI Adj Closed],Table1[[#This Row],[Months]]-Holding_Period+1))</f>
        <v>82.859359999999995</v>
      </c>
      <c r="E176" s="64">
        <f>IF(Table1[[#This Row],[Months]]&lt;Holding_Period,"",RATE(Holding_Period,0,-Table1[[#This Row],[Entry ]],Table1[[#This Row],[VTI Adj Closed]])*12)</f>
        <v>0.14645951208357547</v>
      </c>
    </row>
    <row r="177" spans="1:5">
      <c r="A177" s="16">
        <v>41974</v>
      </c>
      <c r="B177" s="17">
        <v>95.304160999999993</v>
      </c>
      <c r="C177">
        <f t="shared" si="2"/>
        <v>162</v>
      </c>
      <c r="D177" s="17" cm="1">
        <f t="array" ref="D177">IF(Table1[[#This Row],[Months]]&lt;Holding_Period,"",INDEX(Table1[VTI Adj Closed],Table1[[#This Row],[Months]]-Holding_Period+1))</f>
        <v>84.677932999999996</v>
      </c>
      <c r="E177" s="64">
        <f>IF(Table1[[#This Row],[Months]]&lt;Holding_Period,"",RATE(Holding_Period,0,-Table1[[#This Row],[Entry ]],Table1[[#This Row],[VTI Adj Closed]])*12)</f>
        <v>0.11880266895922015</v>
      </c>
    </row>
    <row r="178" spans="1:5">
      <c r="A178" s="16">
        <v>42005</v>
      </c>
      <c r="B178" s="17">
        <v>93.185760000000002</v>
      </c>
      <c r="C178">
        <f t="shared" si="2"/>
        <v>163</v>
      </c>
      <c r="D178" s="17" cm="1">
        <f t="array" ref="D178">IF(Table1[[#This Row],[Months]]&lt;Holding_Period,"",INDEX(Table1[VTI Adj Closed],Table1[[#This Row],[Months]]-Holding_Period+1))</f>
        <v>82.426475999999994</v>
      </c>
      <c r="E178" s="64">
        <f>IF(Table1[[#This Row],[Months]]&lt;Holding_Period,"",RATE(Holding_Period,0,-Table1[[#This Row],[Entry ]],Table1[[#This Row],[VTI Adj Closed]])*12)</f>
        <v>0.12331755060153837</v>
      </c>
    </row>
    <row r="179" spans="1:5">
      <c r="A179" s="16">
        <v>42036</v>
      </c>
      <c r="B179" s="17">
        <v>98.536475999999993</v>
      </c>
      <c r="C179">
        <f t="shared" si="2"/>
        <v>164</v>
      </c>
      <c r="D179" s="17" cm="1">
        <f t="array" ref="D179">IF(Table1[[#This Row],[Months]]&lt;Holding_Period,"",INDEX(Table1[VTI Adj Closed],Table1[[#This Row],[Months]]-Holding_Period+1))</f>
        <v>86.437759</v>
      </c>
      <c r="E179" s="64">
        <f>IF(Table1[[#This Row],[Months]]&lt;Holding_Period,"",RATE(Holding_Period,0,-Table1[[#This Row],[Entry ]],Table1[[#This Row],[VTI Adj Closed]])*12)</f>
        <v>0.13171986330741703</v>
      </c>
    </row>
    <row r="180" spans="1:5">
      <c r="A180" s="16">
        <v>42064</v>
      </c>
      <c r="B180" s="17">
        <v>96.936676000000006</v>
      </c>
      <c r="C180">
        <f t="shared" si="2"/>
        <v>165</v>
      </c>
      <c r="D180" s="17" cm="1">
        <f t="array" ref="D180">IF(Table1[[#This Row],[Months]]&lt;Holding_Period,"",INDEX(Table1[VTI Adj Closed],Table1[[#This Row],[Months]]-Holding_Period+1))</f>
        <v>86.499877999999995</v>
      </c>
      <c r="E180" s="64">
        <f>IF(Table1[[#This Row],[Months]]&lt;Holding_Period,"",RATE(Holding_Period,0,-Table1[[#This Row],[Entry ]],Table1[[#This Row],[VTI Adj Closed]])*12)</f>
        <v>0.11445734423205767</v>
      </c>
    </row>
    <row r="181" spans="1:5">
      <c r="A181" s="16">
        <v>42095</v>
      </c>
      <c r="B181" s="17">
        <v>97.989959999999996</v>
      </c>
      <c r="C181">
        <f t="shared" si="2"/>
        <v>166</v>
      </c>
      <c r="D181" s="17" cm="1">
        <f t="array" ref="D181">IF(Table1[[#This Row],[Months]]&lt;Holding_Period,"",INDEX(Table1[VTI Adj Closed],Table1[[#This Row],[Months]]-Holding_Period+1))</f>
        <v>86.931533999999999</v>
      </c>
      <c r="E181" s="64">
        <f>IF(Table1[[#This Row],[Months]]&lt;Holding_Period,"",RATE(Holding_Period,0,-Table1[[#This Row],[Entry ]],Table1[[#This Row],[VTI Adj Closed]])*12)</f>
        <v>0.12034361786714234</v>
      </c>
    </row>
    <row r="182" spans="1:5">
      <c r="A182" s="16">
        <v>42125</v>
      </c>
      <c r="B182" s="17">
        <v>99.261261000000005</v>
      </c>
      <c r="C182">
        <f t="shared" si="2"/>
        <v>167</v>
      </c>
      <c r="D182" s="17" cm="1">
        <f t="array" ref="D182">IF(Table1[[#This Row],[Months]]&lt;Holding_Period,"",INDEX(Table1[VTI Adj Closed],Table1[[#This Row],[Months]]-Holding_Period+1))</f>
        <v>88.758751000000004</v>
      </c>
      <c r="E182" s="64">
        <f>IF(Table1[[#This Row],[Months]]&lt;Holding_Period,"",RATE(Holding_Period,0,-Table1[[#This Row],[Entry ]],Table1[[#This Row],[VTI Adj Closed]])*12)</f>
        <v>0.11235608278491258</v>
      </c>
    </row>
    <row r="183" spans="1:5">
      <c r="A183" s="16">
        <v>42156</v>
      </c>
      <c r="B183" s="17">
        <v>97.18177</v>
      </c>
      <c r="C183">
        <f t="shared" si="2"/>
        <v>168</v>
      </c>
      <c r="D183" s="17" cm="1">
        <f t="array" ref="D183">IF(Table1[[#This Row],[Months]]&lt;Holding_Period,"",INDEX(Table1[VTI Adj Closed],Table1[[#This Row],[Months]]-Holding_Period+1))</f>
        <v>90.710762000000003</v>
      </c>
      <c r="E183" s="64">
        <f>IF(Table1[[#This Row],[Months]]&lt;Holding_Period,"",RATE(Holding_Period,0,-Table1[[#This Row],[Entry ]],Table1[[#This Row],[VTI Adj Closed]])*12)</f>
        <v>6.9105358077482082E-2</v>
      </c>
    </row>
    <row r="184" spans="1:5">
      <c r="A184" s="16">
        <v>42186</v>
      </c>
      <c r="B184" s="17">
        <v>99.258544999999998</v>
      </c>
      <c r="C184">
        <f t="shared" si="2"/>
        <v>169</v>
      </c>
      <c r="D184" s="17" cm="1">
        <f t="array" ref="D184">IF(Table1[[#This Row],[Months]]&lt;Holding_Period,"",INDEX(Table1[VTI Adj Closed],Table1[[#This Row],[Months]]-Holding_Period+1))</f>
        <v>89.268433000000002</v>
      </c>
      <c r="E184" s="64">
        <f>IF(Table1[[#This Row],[Months]]&lt;Holding_Period,"",RATE(Holding_Period,0,-Table1[[#This Row],[Entry ]],Table1[[#This Row],[VTI Adj Closed]])*12)</f>
        <v>0.106550339015062</v>
      </c>
    </row>
    <row r="185" spans="1:5">
      <c r="A185" s="16">
        <v>42217</v>
      </c>
      <c r="B185" s="17">
        <v>93.212181000000001</v>
      </c>
      <c r="C185">
        <f t="shared" si="2"/>
        <v>170</v>
      </c>
      <c r="D185" s="17" cm="1">
        <f t="array" ref="D185">IF(Table1[[#This Row],[Months]]&lt;Holding_Period,"",INDEX(Table1[VTI Adj Closed],Table1[[#This Row],[Months]]-Holding_Period+1))</f>
        <v>92.973770000000002</v>
      </c>
      <c r="E185" s="64">
        <f>IF(Table1[[#This Row],[Months]]&lt;Holding_Period,"",RATE(Holding_Period,0,-Table1[[#This Row],[Entry ]],Table1[[#This Row],[VTI Adj Closed]])*12)</f>
        <v>2.5612735162235077E-3</v>
      </c>
    </row>
    <row r="186" spans="1:5">
      <c r="A186" s="16">
        <v>42248</v>
      </c>
      <c r="B186" s="17">
        <v>90.029396000000006</v>
      </c>
      <c r="C186">
        <f t="shared" si="2"/>
        <v>171</v>
      </c>
      <c r="D186" s="17" cm="1">
        <f t="array" ref="D186">IF(Table1[[#This Row],[Months]]&lt;Holding_Period,"",INDEX(Table1[VTI Adj Closed],Table1[[#This Row],[Months]]-Holding_Period+1))</f>
        <v>90.610946999999996</v>
      </c>
      <c r="E186" s="64">
        <f>IF(Table1[[#This Row],[Months]]&lt;Holding_Period,"",RATE(Holding_Period,0,-Table1[[#This Row],[Entry ]],Table1[[#This Row],[VTI Adj Closed]])*12)</f>
        <v>-6.4370672289540852E-3</v>
      </c>
    </row>
    <row r="187" spans="1:5">
      <c r="A187" s="16">
        <v>42278</v>
      </c>
      <c r="B187" s="17">
        <v>97.646332000000001</v>
      </c>
      <c r="C187">
        <f t="shared" si="2"/>
        <v>172</v>
      </c>
      <c r="D187" s="17" cm="1">
        <f t="array" ref="D187">IF(Table1[[#This Row],[Months]]&lt;Holding_Period,"",INDEX(Table1[VTI Adj Closed],Table1[[#This Row],[Months]]-Holding_Period+1))</f>
        <v>93.523933</v>
      </c>
      <c r="E187" s="64">
        <f>IF(Table1[[#This Row],[Months]]&lt;Holding_Period,"",RATE(Holding_Period,0,-Table1[[#This Row],[Entry ]],Table1[[#This Row],[VTI Adj Closed]])*12)</f>
        <v>4.3212340590290374E-2</v>
      </c>
    </row>
    <row r="188" spans="1:5">
      <c r="A188" s="16">
        <v>42309</v>
      </c>
      <c r="B188" s="17">
        <v>98.232971000000006</v>
      </c>
      <c r="C188">
        <f t="shared" si="2"/>
        <v>173</v>
      </c>
      <c r="D188" s="17" cm="1">
        <f t="array" ref="D188">IF(Table1[[#This Row],[Months]]&lt;Holding_Period,"",INDEX(Table1[VTI Adj Closed],Table1[[#This Row],[Months]]-Holding_Period+1))</f>
        <v>95.843597000000003</v>
      </c>
      <c r="E188" s="64">
        <f>IF(Table1[[#This Row],[Months]]&lt;Holding_Period,"",RATE(Holding_Period,0,-Table1[[#This Row],[Entry ]],Table1[[#This Row],[VTI Adj Closed]])*12)</f>
        <v>2.4649529629921167E-2</v>
      </c>
    </row>
    <row r="189" spans="1:5">
      <c r="A189" s="16">
        <v>42339</v>
      </c>
      <c r="B189" s="17">
        <v>95.602310000000003</v>
      </c>
      <c r="C189">
        <f t="shared" si="2"/>
        <v>174</v>
      </c>
      <c r="D189" s="17" cm="1">
        <f t="array" ref="D189">IF(Table1[[#This Row],[Months]]&lt;Holding_Period,"",INDEX(Table1[VTI Adj Closed],Table1[[#This Row],[Months]]-Holding_Period+1))</f>
        <v>95.304160999999993</v>
      </c>
      <c r="E189" s="64">
        <f>IF(Table1[[#This Row],[Months]]&lt;Holding_Period,"",RATE(Holding_Period,0,-Table1[[#This Row],[Entry ]],Table1[[#This Row],[VTI Adj Closed]])*12)</f>
        <v>3.1239176687039498E-3</v>
      </c>
    </row>
    <row r="190" spans="1:5">
      <c r="A190" s="16">
        <v>42370</v>
      </c>
      <c r="B190" s="17">
        <v>90.643715</v>
      </c>
      <c r="C190">
        <f t="shared" si="2"/>
        <v>175</v>
      </c>
      <c r="D190" s="17" cm="1">
        <f t="array" ref="D190">IF(Table1[[#This Row],[Months]]&lt;Holding_Period,"",INDEX(Table1[VTI Adj Closed],Table1[[#This Row],[Months]]-Holding_Period+1))</f>
        <v>93.185760000000002</v>
      </c>
      <c r="E190" s="64">
        <f>IF(Table1[[#This Row],[Months]]&lt;Holding_Period,"",RATE(Holding_Period,0,-Table1[[#This Row],[Entry ]],Table1[[#This Row],[VTI Adj Closed]])*12)</f>
        <v>-2.7626468317550661E-2</v>
      </c>
    </row>
    <row r="191" spans="1:5">
      <c r="A191" s="16">
        <v>42401</v>
      </c>
      <c r="B191" s="17">
        <v>90.634490999999997</v>
      </c>
      <c r="C191">
        <f t="shared" si="2"/>
        <v>176</v>
      </c>
      <c r="D191" s="17" cm="1">
        <f t="array" ref="D191">IF(Table1[[#This Row],[Months]]&lt;Holding_Period,"",INDEX(Table1[VTI Adj Closed],Table1[[#This Row],[Months]]-Holding_Period+1))</f>
        <v>98.536475999999993</v>
      </c>
      <c r="E191" s="64">
        <f>IF(Table1[[#This Row],[Months]]&lt;Holding_Period,"",RATE(Holding_Period,0,-Table1[[#This Row],[Entry ]],Table1[[#This Row],[VTI Adj Closed]])*12)</f>
        <v>-8.3301482602829185E-2</v>
      </c>
    </row>
    <row r="192" spans="1:5">
      <c r="A192" s="16">
        <v>42430</v>
      </c>
      <c r="B192" s="17">
        <v>96.626396</v>
      </c>
      <c r="C192">
        <f t="shared" si="2"/>
        <v>177</v>
      </c>
      <c r="D192" s="17" cm="1">
        <f t="array" ref="D192">IF(Table1[[#This Row],[Months]]&lt;Holding_Period,"",INDEX(Table1[VTI Adj Closed],Table1[[#This Row],[Months]]-Holding_Period+1))</f>
        <v>96.936676000000006</v>
      </c>
      <c r="E192" s="64">
        <f>IF(Table1[[#This Row],[Months]]&lt;Holding_Period,"",RATE(Holding_Period,0,-Table1[[#This Row],[Entry ]],Table1[[#This Row],[VTI Adj Closed]])*12)</f>
        <v>-3.2055579404708275E-3</v>
      </c>
    </row>
    <row r="193" spans="1:5">
      <c r="A193" s="16">
        <v>42461</v>
      </c>
      <c r="B193" s="17">
        <v>97.717528999999999</v>
      </c>
      <c r="C193">
        <f t="shared" si="2"/>
        <v>178</v>
      </c>
      <c r="D193" s="17" cm="1">
        <f t="array" ref="D193">IF(Table1[[#This Row],[Months]]&lt;Holding_Period,"",INDEX(Table1[VTI Adj Closed],Table1[[#This Row],[Months]]-Holding_Period+1))</f>
        <v>97.989959999999996</v>
      </c>
      <c r="E193" s="64">
        <f>IF(Table1[[#This Row],[Months]]&lt;Holding_Period,"",RATE(Holding_Period,0,-Table1[[#This Row],[Entry ]],Table1[[#This Row],[VTI Adj Closed]])*12)</f>
        <v>-2.7837419702740019E-3</v>
      </c>
    </row>
    <row r="194" spans="1:5">
      <c r="A194" s="16">
        <v>42491</v>
      </c>
      <c r="B194" s="17">
        <v>99.412375999999995</v>
      </c>
      <c r="C194">
        <f t="shared" si="2"/>
        <v>179</v>
      </c>
      <c r="D194" s="17" cm="1">
        <f t="array" ref="D194">IF(Table1[[#This Row],[Months]]&lt;Holding_Period,"",INDEX(Table1[VTI Adj Closed],Table1[[#This Row],[Months]]-Holding_Period+1))</f>
        <v>99.261261000000005</v>
      </c>
      <c r="E194" s="64">
        <f>IF(Table1[[#This Row],[Months]]&lt;Holding_Period,"",RATE(Holding_Period,0,-Table1[[#This Row],[Entry ]],Table1[[#This Row],[VTI Adj Closed]])*12)</f>
        <v>1.5213352952255089E-3</v>
      </c>
    </row>
    <row r="195" spans="1:5">
      <c r="A195" s="16">
        <v>42522</v>
      </c>
      <c r="B195" s="17">
        <v>99.245673999999994</v>
      </c>
      <c r="C195">
        <f t="shared" si="2"/>
        <v>180</v>
      </c>
      <c r="D195" s="17" cm="1">
        <f t="array" ref="D195">IF(Table1[[#This Row],[Months]]&lt;Holding_Period,"",INDEX(Table1[VTI Adj Closed],Table1[[#This Row],[Months]]-Holding_Period+1))</f>
        <v>97.18177</v>
      </c>
      <c r="E195" s="64">
        <f>IF(Table1[[#This Row],[Months]]&lt;Holding_Period,"",RATE(Holding_Period,0,-Table1[[#This Row],[Entry ]],Table1[[#This Row],[VTI Adj Closed]])*12)</f>
        <v>2.1033601617937322E-2</v>
      </c>
    </row>
    <row r="196" spans="1:5">
      <c r="A196" s="16">
        <v>42552</v>
      </c>
      <c r="B196" s="17">
        <v>103.647041</v>
      </c>
      <c r="C196">
        <f t="shared" si="2"/>
        <v>181</v>
      </c>
      <c r="D196" s="17" cm="1">
        <f t="array" ref="D196">IF(Table1[[#This Row],[Months]]&lt;Holding_Period,"",INDEX(Table1[VTI Adj Closed],Table1[[#This Row],[Months]]-Holding_Period+1))</f>
        <v>99.258544999999998</v>
      </c>
      <c r="E196" s="64">
        <f>IF(Table1[[#This Row],[Months]]&lt;Holding_Period,"",RATE(Holding_Period,0,-Table1[[#This Row],[Entry ]],Table1[[#This Row],[VTI Adj Closed]])*12)</f>
        <v>4.3341360675604311E-2</v>
      </c>
    </row>
    <row r="197" spans="1:5">
      <c r="A197" s="16">
        <v>42583</v>
      </c>
      <c r="B197" s="17">
        <v>103.860985</v>
      </c>
      <c r="C197">
        <f t="shared" si="2"/>
        <v>182</v>
      </c>
      <c r="D197" s="17" cm="1">
        <f t="array" ref="D197">IF(Table1[[#This Row],[Months]]&lt;Holding_Period,"",INDEX(Table1[VTI Adj Closed],Table1[[#This Row],[Months]]-Holding_Period+1))</f>
        <v>93.212181000000001</v>
      </c>
      <c r="E197" s="64">
        <f>IF(Table1[[#This Row],[Months]]&lt;Holding_Period,"",RATE(Holding_Period,0,-Table1[[#This Row],[Entry ]],Table1[[#This Row],[VTI Adj Closed]])*12)</f>
        <v>0.10866395559904668</v>
      </c>
    </row>
    <row r="198" spans="1:5">
      <c r="A198" s="16">
        <v>42614</v>
      </c>
      <c r="B198" s="17">
        <v>103.563293</v>
      </c>
      <c r="C198">
        <f t="shared" si="2"/>
        <v>183</v>
      </c>
      <c r="D198" s="17" cm="1">
        <f t="array" ref="D198">IF(Table1[[#This Row],[Months]]&lt;Holding_Period,"",INDEX(Table1[VTI Adj Closed],Table1[[#This Row],[Months]]-Holding_Period+1))</f>
        <v>90.029396000000006</v>
      </c>
      <c r="E198" s="64">
        <f>IF(Table1[[#This Row],[Months]]&lt;Holding_Period,"",RATE(Holding_Period,0,-Table1[[#This Row],[Entry ]],Table1[[#This Row],[VTI Adj Closed]])*12)</f>
        <v>0.14086711329382107</v>
      </c>
    </row>
    <row r="199" spans="1:5">
      <c r="A199" s="16">
        <v>42644</v>
      </c>
      <c r="B199" s="17">
        <v>101.786942</v>
      </c>
      <c r="C199">
        <f t="shared" si="2"/>
        <v>184</v>
      </c>
      <c r="D199" s="17" cm="1">
        <f t="array" ref="D199">IF(Table1[[#This Row],[Months]]&lt;Holding_Period,"",INDEX(Table1[VTI Adj Closed],Table1[[#This Row],[Months]]-Holding_Period+1))</f>
        <v>97.646332000000001</v>
      </c>
      <c r="E199" s="64">
        <f>IF(Table1[[#This Row],[Months]]&lt;Holding_Period,"",RATE(Holding_Period,0,-Table1[[#This Row],[Entry ]],Table1[[#This Row],[VTI Adj Closed]])*12)</f>
        <v>4.1601677122759459E-2</v>
      </c>
    </row>
    <row r="200" spans="1:5">
      <c r="A200" s="16">
        <v>42675</v>
      </c>
      <c r="B200" s="17">
        <v>106.357956</v>
      </c>
      <c r="C200">
        <f t="shared" si="2"/>
        <v>185</v>
      </c>
      <c r="D200" s="17" cm="1">
        <f t="array" ref="D200">IF(Table1[[#This Row],[Months]]&lt;Holding_Period,"",INDEX(Table1[VTI Adj Closed],Table1[[#This Row],[Months]]-Holding_Period+1))</f>
        <v>98.232971000000006</v>
      </c>
      <c r="E200" s="64">
        <f>IF(Table1[[#This Row],[Months]]&lt;Holding_Period,"",RATE(Holding_Period,0,-Table1[[#This Row],[Entry ]],Table1[[#This Row],[VTI Adj Closed]])*12)</f>
        <v>7.9732152367803857E-2</v>
      </c>
    </row>
    <row r="201" spans="1:5">
      <c r="A201" s="16">
        <v>42705</v>
      </c>
      <c r="B201" s="17">
        <v>107.79748499999999</v>
      </c>
      <c r="C201">
        <f t="shared" si="2"/>
        <v>186</v>
      </c>
      <c r="D201" s="17" cm="1">
        <f t="array" ref="D201">IF(Table1[[#This Row],[Months]]&lt;Holding_Period,"",INDEX(Table1[VTI Adj Closed],Table1[[#This Row],[Months]]-Holding_Period+1))</f>
        <v>95.602310000000003</v>
      </c>
      <c r="E201" s="64">
        <f>IF(Table1[[#This Row],[Months]]&lt;Holding_Period,"",RATE(Holding_Period,0,-Table1[[#This Row],[Entry ]],Table1[[#This Row],[VTI Adj Closed]])*12)</f>
        <v>0.12065992649168296</v>
      </c>
    </row>
    <row r="202" spans="1:5">
      <c r="A202" s="16">
        <v>42736</v>
      </c>
      <c r="B202" s="17">
        <v>110.483833</v>
      </c>
      <c r="C202">
        <f t="shared" si="2"/>
        <v>187</v>
      </c>
      <c r="D202" s="17" cm="1">
        <f t="array" ref="D202">IF(Table1[[#This Row],[Months]]&lt;Holding_Period,"",INDEX(Table1[VTI Adj Closed],Table1[[#This Row],[Months]]-Holding_Period+1))</f>
        <v>90.643715</v>
      </c>
      <c r="E202" s="64">
        <f>IF(Table1[[#This Row],[Months]]&lt;Holding_Period,"",RATE(Holding_Period,0,-Table1[[#This Row],[Entry ]],Table1[[#This Row],[VTI Adj Closed]])*12)</f>
        <v>0.19957400066777564</v>
      </c>
    </row>
    <row r="203" spans="1:5">
      <c r="A203" s="16">
        <v>42767</v>
      </c>
      <c r="B203" s="17">
        <v>114.566078</v>
      </c>
      <c r="C203">
        <f t="shared" si="2"/>
        <v>188</v>
      </c>
      <c r="D203" s="17" cm="1">
        <f t="array" ref="D203">IF(Table1[[#This Row],[Months]]&lt;Holding_Period,"",INDEX(Table1[VTI Adj Closed],Table1[[#This Row],[Months]]-Holding_Period+1))</f>
        <v>90.634490999999997</v>
      </c>
      <c r="E203" s="64">
        <f>IF(Table1[[#This Row],[Months]]&lt;Holding_Period,"",RATE(Holding_Period,0,-Table1[[#This Row],[Entry ]],Table1[[#This Row],[VTI Adj Closed]])*12)</f>
        <v>0.23661956820856861</v>
      </c>
    </row>
    <row r="204" spans="1:5">
      <c r="A204" s="16">
        <v>42795</v>
      </c>
      <c r="B204" s="17">
        <v>114.114586</v>
      </c>
      <c r="C204">
        <f t="shared" si="2"/>
        <v>189</v>
      </c>
      <c r="D204" s="17" cm="1">
        <f t="array" ref="D204">IF(Table1[[#This Row],[Months]]&lt;Holding_Period,"",INDEX(Table1[VTI Adj Closed],Table1[[#This Row],[Months]]-Holding_Period+1))</f>
        <v>96.626396</v>
      </c>
      <c r="E204" s="64">
        <f>IF(Table1[[#This Row],[Months]]&lt;Holding_Period,"",RATE(Holding_Period,0,-Table1[[#This Row],[Entry ]],Table1[[#This Row],[VTI Adj Closed]])*12)</f>
        <v>0.16750950512336668</v>
      </c>
    </row>
    <row r="205" spans="1:5">
      <c r="A205" s="16">
        <v>42826</v>
      </c>
      <c r="B205" s="17">
        <v>115.848213</v>
      </c>
      <c r="C205">
        <f t="shared" si="2"/>
        <v>190</v>
      </c>
      <c r="D205" s="17" cm="1">
        <f t="array" ref="D205">IF(Table1[[#This Row],[Months]]&lt;Holding_Period,"",INDEX(Table1[VTI Adj Closed],Table1[[#This Row],[Months]]-Holding_Period+1))</f>
        <v>97.717528999999999</v>
      </c>
      <c r="E205" s="64">
        <f>IF(Table1[[#This Row],[Months]]&lt;Holding_Period,"",RATE(Holding_Period,0,-Table1[[#This Row],[Entry ]],Table1[[#This Row],[VTI Adj Closed]])*12)</f>
        <v>0.17141259258516942</v>
      </c>
    </row>
    <row r="206" spans="1:5">
      <c r="A206" s="16">
        <v>42856</v>
      </c>
      <c r="B206" s="17">
        <v>117.019829</v>
      </c>
      <c r="C206">
        <f t="shared" si="2"/>
        <v>191</v>
      </c>
      <c r="D206" s="17" cm="1">
        <f t="array" ref="D206">IF(Table1[[#This Row],[Months]]&lt;Holding_Period,"",INDEX(Table1[VTI Adj Closed],Table1[[#This Row],[Months]]-Holding_Period+1))</f>
        <v>99.412375999999995</v>
      </c>
      <c r="E206" s="64">
        <f>IF(Table1[[#This Row],[Months]]&lt;Holding_Period,"",RATE(Holding_Period,0,-Table1[[#This Row],[Entry ]],Table1[[#This Row],[VTI Adj Closed]])*12)</f>
        <v>0.16417977084473692</v>
      </c>
    </row>
    <row r="207" spans="1:5">
      <c r="A207" s="16">
        <v>42887</v>
      </c>
      <c r="B207" s="17">
        <v>117.58673899999999</v>
      </c>
      <c r="C207">
        <f t="shared" si="2"/>
        <v>192</v>
      </c>
      <c r="D207" s="17" cm="1">
        <f t="array" ref="D207">IF(Table1[[#This Row],[Months]]&lt;Holding_Period,"",INDEX(Table1[VTI Adj Closed],Table1[[#This Row],[Months]]-Holding_Period+1))</f>
        <v>99.245673999999994</v>
      </c>
      <c r="E207" s="64">
        <f>IF(Table1[[#This Row],[Months]]&lt;Holding_Period,"",RATE(Holding_Period,0,-Table1[[#This Row],[Entry ]],Table1[[#This Row],[VTI Adj Closed]])*12)</f>
        <v>0.17078179269384047</v>
      </c>
    </row>
    <row r="208" spans="1:5">
      <c r="A208" s="16">
        <v>42917</v>
      </c>
      <c r="B208" s="17">
        <v>120.349495</v>
      </c>
      <c r="C208">
        <f t="shared" si="2"/>
        <v>193</v>
      </c>
      <c r="D208" s="17" cm="1">
        <f t="array" ref="D208">IF(Table1[[#This Row],[Months]]&lt;Holding_Period,"",INDEX(Table1[VTI Adj Closed],Table1[[#This Row],[Months]]-Holding_Period+1))</f>
        <v>103.647041</v>
      </c>
      <c r="E208" s="64">
        <f>IF(Table1[[#This Row],[Months]]&lt;Holding_Period,"",RATE(Holding_Period,0,-Table1[[#This Row],[Entry ]],Table1[[#This Row],[VTI Adj Closed]])*12)</f>
        <v>0.15034267296971823</v>
      </c>
    </row>
    <row r="209" spans="1:5">
      <c r="A209" s="16">
        <v>42948</v>
      </c>
      <c r="B209" s="17">
        <v>120.52984600000001</v>
      </c>
      <c r="C209">
        <f t="shared" ref="C209:C242" si="3">C208+1</f>
        <v>194</v>
      </c>
      <c r="D209" s="17" cm="1">
        <f t="array" ref="D209">IF(Table1[[#This Row],[Months]]&lt;Holding_Period,"",INDEX(Table1[VTI Adj Closed],Table1[[#This Row],[Months]]-Holding_Period+1))</f>
        <v>103.860985</v>
      </c>
      <c r="E209" s="64">
        <f>IF(Table1[[#This Row],[Months]]&lt;Holding_Period,"",RATE(Holding_Period,0,-Table1[[#This Row],[Entry ]],Table1[[#This Row],[VTI Adj Closed]])*12)</f>
        <v>0.14977101985036842</v>
      </c>
    </row>
    <row r="210" spans="1:5">
      <c r="A210" s="16">
        <v>42979</v>
      </c>
      <c r="B210" s="17">
        <v>122.940834</v>
      </c>
      <c r="C210">
        <f t="shared" si="3"/>
        <v>195</v>
      </c>
      <c r="D210" s="17" cm="1">
        <f t="array" ref="D210">IF(Table1[[#This Row],[Months]]&lt;Holding_Period,"",INDEX(Table1[VTI Adj Closed],Table1[[#This Row],[Months]]-Holding_Period+1))</f>
        <v>103.563293</v>
      </c>
      <c r="E210" s="64">
        <f>IF(Table1[[#This Row],[Months]]&lt;Holding_Period,"",RATE(Holding_Period,0,-Table1[[#This Row],[Entry ]],Table1[[#This Row],[VTI Adj Closed]])*12)</f>
        <v>0.17275192410181339</v>
      </c>
    </row>
    <row r="211" spans="1:5">
      <c r="A211" s="16">
        <v>43009</v>
      </c>
      <c r="B211" s="17">
        <v>126.14962</v>
      </c>
      <c r="C211">
        <f t="shared" si="3"/>
        <v>196</v>
      </c>
      <c r="D211" s="17" cm="1">
        <f t="array" ref="D211">IF(Table1[[#This Row],[Months]]&lt;Holding_Period,"",INDEX(Table1[VTI Adj Closed],Table1[[#This Row],[Months]]-Holding_Period+1))</f>
        <v>101.786942</v>
      </c>
      <c r="E211" s="64">
        <f>IF(Table1[[#This Row],[Months]]&lt;Holding_Period,"",RATE(Holding_Period,0,-Table1[[#This Row],[Entry ]],Table1[[#This Row],[VTI Adj Closed]])*12)</f>
        <v>0.21651697219385518</v>
      </c>
    </row>
    <row r="212" spans="1:5">
      <c r="A212" s="16">
        <v>43040</v>
      </c>
      <c r="B212" s="17">
        <v>129.97232099999999</v>
      </c>
      <c r="C212">
        <f t="shared" si="3"/>
        <v>197</v>
      </c>
      <c r="D212" s="17" cm="1">
        <f t="array" ref="D212">IF(Table1[[#This Row],[Months]]&lt;Holding_Period,"",INDEX(Table1[VTI Adj Closed],Table1[[#This Row],[Months]]-Holding_Period+1))</f>
        <v>106.357956</v>
      </c>
      <c r="E212" s="64">
        <f>IF(Table1[[#This Row],[Months]]&lt;Holding_Period,"",RATE(Holding_Period,0,-Table1[[#This Row],[Entry ]],Table1[[#This Row],[VTI Adj Closed]])*12)</f>
        <v>0.20219573045786782</v>
      </c>
    </row>
    <row r="213" spans="1:5">
      <c r="A213" s="16">
        <v>43070</v>
      </c>
      <c r="B213" s="17">
        <v>130.839844</v>
      </c>
      <c r="C213">
        <f t="shared" si="3"/>
        <v>198</v>
      </c>
      <c r="D213" s="17" cm="1">
        <f t="array" ref="D213">IF(Table1[[#This Row],[Months]]&lt;Holding_Period,"",INDEX(Table1[VTI Adj Closed],Table1[[#This Row],[Months]]-Holding_Period+1))</f>
        <v>107.79748499999999</v>
      </c>
      <c r="E213" s="64">
        <f>IF(Table1[[#This Row],[Months]]&lt;Holding_Period,"",RATE(Holding_Period,0,-Table1[[#This Row],[Entry ]],Table1[[#This Row],[VTI Adj Closed]])*12)</f>
        <v>0.19529176871627626</v>
      </c>
    </row>
    <row r="214" spans="1:5">
      <c r="A214" s="16">
        <v>43101</v>
      </c>
      <c r="B214" s="17">
        <v>138.35957300000001</v>
      </c>
      <c r="C214">
        <f t="shared" si="3"/>
        <v>199</v>
      </c>
      <c r="D214" s="17" cm="1">
        <f t="array" ref="D214">IF(Table1[[#This Row],[Months]]&lt;Holding_Period,"",INDEX(Table1[VTI Adj Closed],Table1[[#This Row],[Months]]-Holding_Period+1))</f>
        <v>110.483833</v>
      </c>
      <c r="E214" s="64">
        <f>IF(Table1[[#This Row],[Months]]&lt;Holding_Period,"",RATE(Holding_Period,0,-Table1[[#This Row],[Entry ]],Table1[[#This Row],[VTI Adj Closed]])*12)</f>
        <v>0.22710906416691734</v>
      </c>
    </row>
    <row r="215" spans="1:5">
      <c r="A215" s="16">
        <v>43132</v>
      </c>
      <c r="B215" s="17">
        <v>133.157791</v>
      </c>
      <c r="C215">
        <f t="shared" si="3"/>
        <v>200</v>
      </c>
      <c r="D215" s="17" cm="1">
        <f t="array" ref="D215">IF(Table1[[#This Row],[Months]]&lt;Holding_Period,"",INDEX(Table1[VTI Adj Closed],Table1[[#This Row],[Months]]-Holding_Period+1))</f>
        <v>114.566078</v>
      </c>
      <c r="E215" s="64">
        <f>IF(Table1[[#This Row],[Months]]&lt;Holding_Period,"",RATE(Holding_Period,0,-Table1[[#This Row],[Entry ]],Table1[[#This Row],[VTI Adj Closed]])*12)</f>
        <v>0.15132930959345667</v>
      </c>
    </row>
    <row r="216" spans="1:5">
      <c r="A216" s="16">
        <v>43160</v>
      </c>
      <c r="B216" s="17">
        <v>130.01568599999999</v>
      </c>
      <c r="C216">
        <f t="shared" si="3"/>
        <v>201</v>
      </c>
      <c r="D216" s="17" cm="1">
        <f t="array" ref="D216">IF(Table1[[#This Row],[Months]]&lt;Holding_Period,"",INDEX(Table1[VTI Adj Closed],Table1[[#This Row],[Months]]-Holding_Period+1))</f>
        <v>114.114586</v>
      </c>
      <c r="E216" s="64">
        <f>IF(Table1[[#This Row],[Months]]&lt;Holding_Period,"",RATE(Holding_Period,0,-Table1[[#This Row],[Entry ]],Table1[[#This Row],[VTI Adj Closed]])*12)</f>
        <v>0.13116366929652781</v>
      </c>
    </row>
    <row r="217" spans="1:5">
      <c r="A217" s="16">
        <v>43191</v>
      </c>
      <c r="B217" s="17">
        <v>131.13043200000001</v>
      </c>
      <c r="C217">
        <f t="shared" si="3"/>
        <v>202</v>
      </c>
      <c r="D217" s="17" cm="1">
        <f t="array" ref="D217">IF(Table1[[#This Row],[Months]]&lt;Holding_Period,"",INDEX(Table1[VTI Adj Closed],Table1[[#This Row],[Months]]-Holding_Period+1))</f>
        <v>115.848213</v>
      </c>
      <c r="E217" s="64">
        <f>IF(Table1[[#This Row],[Months]]&lt;Holding_Period,"",RATE(Holding_Period,0,-Table1[[#This Row],[Entry ]],Table1[[#This Row],[VTI Adj Closed]])*12)</f>
        <v>0.12455362827282296</v>
      </c>
    </row>
    <row r="218" spans="1:5">
      <c r="A218" s="16">
        <v>43221</v>
      </c>
      <c r="B218" s="17">
        <v>134.69892899999999</v>
      </c>
      <c r="C218">
        <f t="shared" si="3"/>
        <v>203</v>
      </c>
      <c r="D218" s="17" cm="1">
        <f t="array" ref="D218">IF(Table1[[#This Row],[Months]]&lt;Holding_Period,"",INDEX(Table1[VTI Adj Closed],Table1[[#This Row],[Months]]-Holding_Period+1))</f>
        <v>117.019829</v>
      </c>
      <c r="E218" s="64">
        <f>IF(Table1[[#This Row],[Months]]&lt;Holding_Period,"",RATE(Holding_Period,0,-Table1[[#This Row],[Entry ]],Table1[[#This Row],[VTI Adj Closed]])*12)</f>
        <v>0.14152680539829285</v>
      </c>
    </row>
    <row r="219" spans="1:5">
      <c r="A219" s="16">
        <v>43252</v>
      </c>
      <c r="B219" s="17">
        <v>135.074051</v>
      </c>
      <c r="C219">
        <f t="shared" si="3"/>
        <v>204</v>
      </c>
      <c r="D219" s="17" cm="1">
        <f t="array" ref="D219">IF(Table1[[#This Row],[Months]]&lt;Holding_Period,"",INDEX(Table1[VTI Adj Closed],Table1[[#This Row],[Months]]-Holding_Period+1))</f>
        <v>117.58673899999999</v>
      </c>
      <c r="E219" s="64">
        <f>IF(Table1[[#This Row],[Months]]&lt;Holding_Period,"",RATE(Holding_Period,0,-Table1[[#This Row],[Entry ]],Table1[[#This Row],[VTI Adj Closed]])*12)</f>
        <v>0.13945093878889714</v>
      </c>
    </row>
    <row r="220" spans="1:5">
      <c r="A220" s="16">
        <v>43282</v>
      </c>
      <c r="B220" s="17">
        <v>140.147919</v>
      </c>
      <c r="C220">
        <f t="shared" si="3"/>
        <v>205</v>
      </c>
      <c r="D220" s="17" cm="1">
        <f t="array" ref="D220">IF(Table1[[#This Row],[Months]]&lt;Holding_Period,"",INDEX(Table1[VTI Adj Closed],Table1[[#This Row],[Months]]-Holding_Period+1))</f>
        <v>120.349495</v>
      </c>
      <c r="E220" s="64">
        <f>IF(Table1[[#This Row],[Months]]&lt;Holding_Period,"",RATE(Holding_Period,0,-Table1[[#This Row],[Entry ]],Table1[[#This Row],[VTI Adj Closed]])*12)</f>
        <v>0.15326901347100474</v>
      </c>
    </row>
    <row r="221" spans="1:5">
      <c r="A221" s="16">
        <v>43313</v>
      </c>
      <c r="B221" s="17">
        <v>144.95829800000001</v>
      </c>
      <c r="C221">
        <f t="shared" si="3"/>
        <v>206</v>
      </c>
      <c r="D221" s="17" cm="1">
        <f t="array" ref="D221">IF(Table1[[#This Row],[Months]]&lt;Holding_Period,"",INDEX(Table1[VTI Adj Closed],Table1[[#This Row],[Months]]-Holding_Period+1))</f>
        <v>120.52984600000001</v>
      </c>
      <c r="E221" s="64">
        <f>IF(Table1[[#This Row],[Months]]&lt;Holding_Period,"",RATE(Holding_Period,0,-Table1[[#This Row],[Entry ]],Table1[[#This Row],[VTI Adj Closed]])*12)</f>
        <v>0.18597508949252115</v>
      </c>
    </row>
    <row r="222" spans="1:5">
      <c r="A222" s="16">
        <v>43344</v>
      </c>
      <c r="B222" s="17">
        <v>144.55261200000001</v>
      </c>
      <c r="C222">
        <f t="shared" si="3"/>
        <v>207</v>
      </c>
      <c r="D222" s="17" cm="1">
        <f t="array" ref="D222">IF(Table1[[#This Row],[Months]]&lt;Holding_Period,"",INDEX(Table1[VTI Adj Closed],Table1[[#This Row],[Months]]-Holding_Period+1))</f>
        <v>122.940834</v>
      </c>
      <c r="E222" s="64">
        <f>IF(Table1[[#This Row],[Months]]&lt;Holding_Period,"",RATE(Holding_Period,0,-Table1[[#This Row],[Entry ]],Table1[[#This Row],[VTI Adj Closed]])*12)</f>
        <v>0.16303794936795565</v>
      </c>
    </row>
    <row r="223" spans="1:5">
      <c r="A223" s="16">
        <v>43374</v>
      </c>
      <c r="B223" s="17">
        <v>134.47920199999999</v>
      </c>
      <c r="C223">
        <f t="shared" si="3"/>
        <v>208</v>
      </c>
      <c r="D223" s="17" cm="1">
        <f t="array" ref="D223">IF(Table1[[#This Row],[Months]]&lt;Holding_Period,"",INDEX(Table1[VTI Adj Closed],Table1[[#This Row],[Months]]-Holding_Period+1))</f>
        <v>126.14962</v>
      </c>
      <c r="E223" s="64">
        <f>IF(Table1[[#This Row],[Months]]&lt;Holding_Period,"",RATE(Holding_Period,0,-Table1[[#This Row],[Entry ]],Table1[[#This Row],[VTI Adj Closed]])*12)</f>
        <v>6.4111546861898294E-2</v>
      </c>
    </row>
    <row r="224" spans="1:5">
      <c r="A224" s="16">
        <v>43405</v>
      </c>
      <c r="B224" s="17">
        <v>137.18704199999999</v>
      </c>
      <c r="C224">
        <f t="shared" si="3"/>
        <v>209</v>
      </c>
      <c r="D224" s="17" cm="1">
        <f t="array" ref="D224">IF(Table1[[#This Row],[Months]]&lt;Holding_Period,"",INDEX(Table1[VTI Adj Closed],Table1[[#This Row],[Months]]-Holding_Period+1))</f>
        <v>129.97232099999999</v>
      </c>
      <c r="E224" s="64">
        <f>IF(Table1[[#This Row],[Months]]&lt;Holding_Period,"",RATE(Holding_Period,0,-Table1[[#This Row],[Entry ]],Table1[[#This Row],[VTI Adj Closed]])*12)</f>
        <v>5.4145541971775561E-2</v>
      </c>
    </row>
    <row r="225" spans="1:5">
      <c r="A225" s="16">
        <v>43435</v>
      </c>
      <c r="B225" s="17">
        <v>123.871094</v>
      </c>
      <c r="C225">
        <f t="shared" si="3"/>
        <v>210</v>
      </c>
      <c r="D225" s="17" cm="1">
        <f t="array" ref="D225">IF(Table1[[#This Row],[Months]]&lt;Holding_Period,"",INDEX(Table1[VTI Adj Closed],Table1[[#This Row],[Months]]-Holding_Period+1))</f>
        <v>130.839844</v>
      </c>
      <c r="E225" s="64">
        <f>IF(Table1[[#This Row],[Months]]&lt;Holding_Period,"",RATE(Holding_Period,0,-Table1[[#This Row],[Entry ]],Table1[[#This Row],[VTI Adj Closed]])*12)</f>
        <v>-5.460792071912425E-2</v>
      </c>
    </row>
    <row r="226" spans="1:5">
      <c r="A226" s="16">
        <v>43466</v>
      </c>
      <c r="B226" s="17">
        <v>135.23968500000001</v>
      </c>
      <c r="C226">
        <f t="shared" si="3"/>
        <v>211</v>
      </c>
      <c r="D226" s="17" cm="1">
        <f t="array" ref="D226">IF(Table1[[#This Row],[Months]]&lt;Holding_Period,"",INDEX(Table1[VTI Adj Closed],Table1[[#This Row],[Months]]-Holding_Period+1))</f>
        <v>138.35957300000001</v>
      </c>
      <c r="E226" s="64">
        <f>IF(Table1[[#This Row],[Months]]&lt;Holding_Period,"",RATE(Holding_Period,0,-Table1[[#This Row],[Entry ]],Table1[[#This Row],[VTI Adj Closed]])*12)</f>
        <v>-2.2785589214117857E-2</v>
      </c>
    </row>
    <row r="227" spans="1:5">
      <c r="A227" s="16">
        <v>43497</v>
      </c>
      <c r="B227" s="17">
        <v>140.05259699999999</v>
      </c>
      <c r="C227">
        <f t="shared" si="3"/>
        <v>212</v>
      </c>
      <c r="D227" s="17" cm="1">
        <f t="array" ref="D227">IF(Table1[[#This Row],[Months]]&lt;Holding_Period,"",INDEX(Table1[VTI Adj Closed],Table1[[#This Row],[Months]]-Holding_Period+1))</f>
        <v>133.157791</v>
      </c>
      <c r="E227" s="64">
        <f>IF(Table1[[#This Row],[Months]]&lt;Holding_Period,"",RATE(Holding_Period,0,-Table1[[#This Row],[Entry ]],Table1[[#This Row],[VTI Adj Closed]])*12)</f>
        <v>5.058956029499144E-2</v>
      </c>
    </row>
    <row r="228" spans="1:5">
      <c r="A228" s="16">
        <v>43525</v>
      </c>
      <c r="B228" s="17">
        <v>141.27290300000001</v>
      </c>
      <c r="C228">
        <f t="shared" si="3"/>
        <v>213</v>
      </c>
      <c r="D228" s="17" cm="1">
        <f t="array" ref="D228">IF(Table1[[#This Row],[Months]]&lt;Holding_Period,"",INDEX(Table1[VTI Adj Closed],Table1[[#This Row],[Months]]-Holding_Period+1))</f>
        <v>130.01568599999999</v>
      </c>
      <c r="E228" s="64">
        <f>IF(Table1[[#This Row],[Months]]&lt;Holding_Period,"",RATE(Holding_Period,0,-Table1[[#This Row],[Entry ]],Table1[[#This Row],[VTI Adj Closed]])*12)</f>
        <v>8.3326368467228212E-2</v>
      </c>
    </row>
    <row r="229" spans="1:5">
      <c r="A229" s="16">
        <v>43556</v>
      </c>
      <c r="B229" s="17">
        <v>147.611786</v>
      </c>
      <c r="C229">
        <f t="shared" si="3"/>
        <v>214</v>
      </c>
      <c r="D229" s="17" cm="1">
        <f t="array" ref="D229">IF(Table1[[#This Row],[Months]]&lt;Holding_Period,"",INDEX(Table1[VTI Adj Closed],Table1[[#This Row],[Months]]-Holding_Period+1))</f>
        <v>131.13043200000001</v>
      </c>
      <c r="E229" s="64">
        <f>IF(Table1[[#This Row],[Months]]&lt;Holding_Period,"",RATE(Holding_Period,0,-Table1[[#This Row],[Entry ]],Table1[[#This Row],[VTI Adj Closed]])*12)</f>
        <v>0.11897923367530742</v>
      </c>
    </row>
    <row r="230" spans="1:5">
      <c r="A230" s="16">
        <v>43586</v>
      </c>
      <c r="B230" s="17">
        <v>138.09097299999999</v>
      </c>
      <c r="C230">
        <f t="shared" si="3"/>
        <v>215</v>
      </c>
      <c r="D230" s="17" cm="1">
        <f t="array" ref="D230">IF(Table1[[#This Row],[Months]]&lt;Holding_Period,"",INDEX(Table1[VTI Adj Closed],Table1[[#This Row],[Months]]-Holding_Period+1))</f>
        <v>134.69892899999999</v>
      </c>
      <c r="E230" s="64">
        <f>IF(Table1[[#This Row],[Months]]&lt;Holding_Period,"",RATE(Holding_Period,0,-Table1[[#This Row],[Entry ]],Table1[[#This Row],[VTI Adj Closed]])*12)</f>
        <v>2.4896350732899725E-2</v>
      </c>
    </row>
    <row r="231" spans="1:5">
      <c r="A231" s="16">
        <v>43617</v>
      </c>
      <c r="B231" s="17">
        <v>147.317307</v>
      </c>
      <c r="C231">
        <f t="shared" si="3"/>
        <v>216</v>
      </c>
      <c r="D231" s="17" cm="1">
        <f t="array" ref="D231">IF(Table1[[#This Row],[Months]]&lt;Holding_Period,"",INDEX(Table1[VTI Adj Closed],Table1[[#This Row],[Months]]-Holding_Period+1))</f>
        <v>135.074051</v>
      </c>
      <c r="E231" s="64">
        <f>IF(Table1[[#This Row],[Months]]&lt;Holding_Period,"",RATE(Holding_Period,0,-Table1[[#This Row],[Entry ]],Table1[[#This Row],[VTI Adj Closed]])*12)</f>
        <v>8.7080093183715707E-2</v>
      </c>
    </row>
    <row r="232" spans="1:5">
      <c r="A232" s="16">
        <v>43647</v>
      </c>
      <c r="B232" s="17">
        <v>149.95378099999999</v>
      </c>
      <c r="C232">
        <f t="shared" si="3"/>
        <v>217</v>
      </c>
      <c r="D232" s="17" cm="1">
        <f t="array" ref="D232">IF(Table1[[#This Row],[Months]]&lt;Holding_Period,"",INDEX(Table1[VTI Adj Closed],Table1[[#This Row],[Months]]-Holding_Period+1))</f>
        <v>140.147919</v>
      </c>
      <c r="E232" s="64">
        <f>IF(Table1[[#This Row],[Months]]&lt;Holding_Period,"",RATE(Holding_Period,0,-Table1[[#This Row],[Entry ]],Table1[[#This Row],[VTI Adj Closed]])*12)</f>
        <v>6.781961765301453E-2</v>
      </c>
    </row>
    <row r="233" spans="1:5">
      <c r="A233" s="16">
        <v>43678</v>
      </c>
      <c r="B233" s="17">
        <v>146.83073400000001</v>
      </c>
      <c r="C233">
        <f t="shared" si="3"/>
        <v>218</v>
      </c>
      <c r="D233" s="17" cm="1">
        <f t="array" ref="D233">IF(Table1[[#This Row],[Months]]&lt;Holding_Period,"",INDEX(Table1[VTI Adj Closed],Table1[[#This Row],[Months]]-Holding_Period+1))</f>
        <v>144.95829800000001</v>
      </c>
      <c r="E233" s="64">
        <f>IF(Table1[[#This Row],[Months]]&lt;Holding_Period,"",RATE(Holding_Period,0,-Table1[[#This Row],[Entry ]],Table1[[#This Row],[VTI Adj Closed]])*12)</f>
        <v>1.2841218692453268E-2</v>
      </c>
    </row>
    <row r="234" spans="1:5">
      <c r="A234" s="16">
        <v>43709</v>
      </c>
      <c r="B234" s="17">
        <v>148.76168799999999</v>
      </c>
      <c r="C234">
        <f t="shared" si="3"/>
        <v>219</v>
      </c>
      <c r="D234" s="17" cm="1">
        <f t="array" ref="D234">IF(Table1[[#This Row],[Months]]&lt;Holding_Period,"",INDEX(Table1[VTI Adj Closed],Table1[[#This Row],[Months]]-Holding_Period+1))</f>
        <v>144.55261200000001</v>
      </c>
      <c r="E234" s="64">
        <f>IF(Table1[[#This Row],[Months]]&lt;Holding_Period,"",RATE(Holding_Period,0,-Table1[[#This Row],[Entry ]],Table1[[#This Row],[VTI Adj Closed]])*12)</f>
        <v>2.8736430728353857E-2</v>
      </c>
    </row>
    <row r="235" spans="1:5">
      <c r="A235" s="16">
        <v>43739</v>
      </c>
      <c r="B235" s="17">
        <v>152.59054599999999</v>
      </c>
      <c r="C235">
        <f t="shared" si="3"/>
        <v>220</v>
      </c>
      <c r="D235" s="17" cm="1">
        <f t="array" ref="D235">IF(Table1[[#This Row],[Months]]&lt;Holding_Period,"",INDEX(Table1[VTI Adj Closed],Table1[[#This Row],[Months]]-Holding_Period+1))</f>
        <v>134.47920199999999</v>
      </c>
      <c r="E235" s="64">
        <f>IF(Table1[[#This Row],[Months]]&lt;Holding_Period,"",RATE(Holding_Period,0,-Table1[[#This Row],[Entry ]],Table1[[#This Row],[VTI Adj Closed]])*12)</f>
        <v>0.12701611513503883</v>
      </c>
    </row>
    <row r="236" spans="1:5">
      <c r="A236" s="16">
        <v>43770</v>
      </c>
      <c r="B236" s="17">
        <v>158.37034600000001</v>
      </c>
      <c r="C236">
        <f t="shared" si="3"/>
        <v>221</v>
      </c>
      <c r="D236" s="17" cm="1">
        <f t="array" ref="D236">IF(Table1[[#This Row],[Months]]&lt;Holding_Period,"",INDEX(Table1[VTI Adj Closed],Table1[[#This Row],[Months]]-Holding_Period+1))</f>
        <v>137.18704199999999</v>
      </c>
      <c r="E236" s="64">
        <f>IF(Table1[[#This Row],[Months]]&lt;Holding_Period,"",RATE(Holding_Period,0,-Table1[[#This Row],[Entry ]],Table1[[#This Row],[VTI Adj Closed]])*12)</f>
        <v>0.14445352322147792</v>
      </c>
    </row>
    <row r="237" spans="1:5">
      <c r="A237" s="16">
        <v>43800</v>
      </c>
      <c r="B237" s="17">
        <v>161.93322800000001</v>
      </c>
      <c r="C237">
        <f t="shared" si="3"/>
        <v>222</v>
      </c>
      <c r="D237" s="17" cm="1">
        <f t="array" ref="D237">IF(Table1[[#This Row],[Months]]&lt;Holding_Period,"",INDEX(Table1[VTI Adj Closed],Table1[[#This Row],[Months]]-Holding_Period+1))</f>
        <v>123.871094</v>
      </c>
      <c r="E237" s="64">
        <f>IF(Table1[[#This Row],[Months]]&lt;Holding_Period,"",RATE(Holding_Period,0,-Table1[[#This Row],[Entry ]],Table1[[#This Row],[VTI Adj Closed]])*12)</f>
        <v>0.27095639158424778</v>
      </c>
    </row>
    <row r="238" spans="1:5">
      <c r="A238" s="16">
        <v>43831</v>
      </c>
      <c r="B238" s="17">
        <v>162.71174600000001</v>
      </c>
      <c r="C238">
        <f t="shared" si="3"/>
        <v>223</v>
      </c>
      <c r="D238" s="17" cm="1">
        <f t="array" ref="D238">IF(Table1[[#This Row],[Months]]&lt;Holding_Period,"",INDEX(Table1[VTI Adj Closed],Table1[[#This Row],[Months]]-Holding_Period+1))</f>
        <v>135.23968500000001</v>
      </c>
      <c r="E238" s="64">
        <f>IF(Table1[[#This Row],[Months]]&lt;Holding_Period,"",RATE(Holding_Period,0,-Table1[[#This Row],[Entry ]],Table1[[#This Row],[VTI Adj Closed]])*12)</f>
        <v>0.18636389232807815</v>
      </c>
    </row>
    <row r="239" spans="1:5">
      <c r="A239" s="16">
        <v>43862</v>
      </c>
      <c r="B239" s="17">
        <v>149.69639599999999</v>
      </c>
      <c r="C239">
        <f t="shared" si="3"/>
        <v>224</v>
      </c>
      <c r="D239" s="17" cm="1">
        <f t="array" ref="D239">IF(Table1[[#This Row],[Months]]&lt;Holding_Period,"",INDEX(Table1[VTI Adj Closed],Table1[[#This Row],[Months]]-Holding_Period+1))</f>
        <v>140.05259699999999</v>
      </c>
      <c r="E239" s="64">
        <f>IF(Table1[[#This Row],[Months]]&lt;Holding_Period,"",RATE(Holding_Period,0,-Table1[[#This Row],[Entry ]],Table1[[#This Row],[VTI Adj Closed]])*12)</f>
        <v>6.6776279659230026E-2</v>
      </c>
    </row>
    <row r="240" spans="1:5">
      <c r="A240" s="16">
        <v>43891</v>
      </c>
      <c r="B240" s="17">
        <v>128.27282700000001</v>
      </c>
      <c r="C240">
        <f t="shared" si="3"/>
        <v>225</v>
      </c>
      <c r="D240" s="17" cm="1">
        <f t="array" ref="D240">IF(Table1[[#This Row],[Months]]&lt;Holding_Period,"",INDEX(Table1[VTI Adj Closed],Table1[[#This Row],[Months]]-Holding_Period+1))</f>
        <v>141.27290300000001</v>
      </c>
      <c r="E240" s="64">
        <f>IF(Table1[[#This Row],[Months]]&lt;Holding_Period,"",RATE(Holding_Period,0,-Table1[[#This Row],[Entry ]],Table1[[#This Row],[VTI Adj Closed]])*12)</f>
        <v>-9.6146800332960664E-2</v>
      </c>
    </row>
    <row r="241" spans="1:5">
      <c r="A241" s="16">
        <v>43922</v>
      </c>
      <c r="B241" s="17">
        <v>145.83999600000001</v>
      </c>
      <c r="C241">
        <f t="shared" si="3"/>
        <v>226</v>
      </c>
      <c r="D241" s="17" cm="1">
        <f t="array" ref="D241">IF(Table1[[#This Row],[Months]]&lt;Holding_Period,"",INDEX(Table1[VTI Adj Closed],Table1[[#This Row],[Months]]-Holding_Period+1))</f>
        <v>147.611786</v>
      </c>
      <c r="E241" s="64">
        <f>IF(Table1[[#This Row],[Months]]&lt;Holding_Period,"",RATE(Holding_Period,0,-Table1[[#This Row],[Entry ]],Table1[[#This Row],[VTI Adj Closed]])*12)</f>
        <v>-1.2069583124099479E-2</v>
      </c>
    </row>
    <row r="242" spans="1:5">
      <c r="A242" s="16">
        <v>43952</v>
      </c>
      <c r="B242" s="17">
        <v>153.71000699999999</v>
      </c>
      <c r="C242">
        <f t="shared" si="3"/>
        <v>227</v>
      </c>
      <c r="D242" s="17" cm="1">
        <f t="array" ref="D242">IF(Table1[[#This Row],[Months]]&lt;Holding_Period,"",INDEX(Table1[VTI Adj Closed],Table1[[#This Row],[Months]]-Holding_Period+1))</f>
        <v>138.09097299999999</v>
      </c>
      <c r="E242" s="64">
        <f>IF(Table1[[#This Row],[Months]]&lt;Holding_Period,"",RATE(Holding_Period,0,-Table1[[#This Row],[Entry ]],Table1[[#This Row],[VTI Adj Closed]])*12)</f>
        <v>0.10763491572244319</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6269-8AEF-F340-9F77-D6D1783F2034}">
  <dimension ref="A1:AG139"/>
  <sheetViews>
    <sheetView topLeftCell="L1" zoomScaleNormal="100" workbookViewId="0">
      <pane ySplit="12" topLeftCell="A13" activePane="bottomLeft" state="frozen"/>
      <selection pane="bottomLeft" activeCell="T38" sqref="T38"/>
    </sheetView>
  </sheetViews>
  <sheetFormatPr baseColWidth="10" defaultRowHeight="16"/>
  <cols>
    <col min="11" max="11" width="20.6640625" bestFit="1" customWidth="1"/>
    <col min="14" max="14" width="16" bestFit="1" customWidth="1"/>
    <col min="17" max="17" width="18.6640625" bestFit="1" customWidth="1"/>
    <col min="18" max="19" width="7.83203125" bestFit="1" customWidth="1"/>
    <col min="20" max="20" width="12.5" bestFit="1" customWidth="1"/>
    <col min="28" max="28" width="18.6640625" bestFit="1" customWidth="1"/>
    <col min="29" max="30" width="20.33203125" bestFit="1" customWidth="1"/>
    <col min="31" max="31" width="12.33203125" bestFit="1" customWidth="1"/>
  </cols>
  <sheetData>
    <row r="1" spans="1:33">
      <c r="A1" t="s">
        <v>0</v>
      </c>
    </row>
    <row r="2" spans="1:33">
      <c r="A2" t="s">
        <v>280</v>
      </c>
      <c r="AA2" t="s">
        <v>364</v>
      </c>
    </row>
    <row r="3" spans="1:33">
      <c r="A3" t="s">
        <v>392</v>
      </c>
      <c r="AA3" t="s">
        <v>365</v>
      </c>
    </row>
    <row r="4" spans="1:33">
      <c r="A4" t="s">
        <v>286</v>
      </c>
      <c r="AA4" t="s">
        <v>366</v>
      </c>
    </row>
    <row r="5" spans="1:33">
      <c r="A5" t="s">
        <v>320</v>
      </c>
      <c r="AA5" t="s">
        <v>401</v>
      </c>
    </row>
    <row r="6" spans="1:33">
      <c r="A6" t="s">
        <v>289</v>
      </c>
      <c r="AA6" t="s">
        <v>367</v>
      </c>
    </row>
    <row r="7" spans="1:33">
      <c r="A7" t="s">
        <v>323</v>
      </c>
    </row>
    <row r="8" spans="1:33">
      <c r="A8" t="s">
        <v>292</v>
      </c>
      <c r="B8" s="8" t="s">
        <v>293</v>
      </c>
    </row>
    <row r="9" spans="1:33">
      <c r="A9" t="s">
        <v>368</v>
      </c>
    </row>
    <row r="10" spans="1:33">
      <c r="A10" t="s">
        <v>359</v>
      </c>
    </row>
    <row r="11" spans="1:33">
      <c r="A11" t="s">
        <v>426</v>
      </c>
    </row>
    <row r="12" spans="1:33">
      <c r="A12" s="65" t="s">
        <v>20</v>
      </c>
      <c r="B12" s="65" t="s">
        <v>202</v>
      </c>
      <c r="C12" s="65" t="s">
        <v>218</v>
      </c>
      <c r="D12" s="65" t="s">
        <v>222</v>
      </c>
      <c r="E12" s="65" t="s">
        <v>226</v>
      </c>
      <c r="F12" s="65" t="s">
        <v>207</v>
      </c>
      <c r="G12" s="65" t="s">
        <v>213</v>
      </c>
      <c r="H12" s="65" t="s">
        <v>275</v>
      </c>
      <c r="I12" s="65" t="s">
        <v>261</v>
      </c>
    </row>
    <row r="13" spans="1:33">
      <c r="A13" s="16">
        <v>40179</v>
      </c>
      <c r="B13" s="2">
        <v>-2.9515824958041947E-2</v>
      </c>
      <c r="C13" s="2">
        <v>-2.596615311273287E-2</v>
      </c>
      <c r="D13" s="2">
        <v>8.7562121086224298E-3</v>
      </c>
      <c r="E13" s="2">
        <v>1.6800535670806083E-2</v>
      </c>
      <c r="F13" s="2">
        <v>2.2179713005115786E-2</v>
      </c>
      <c r="G13" s="2">
        <v>1.9637407793080985E-2</v>
      </c>
      <c r="H13" s="2">
        <v>-1.0118659849090994E-2</v>
      </c>
      <c r="I13" s="2">
        <v>-1.1019952712678638E-2</v>
      </c>
      <c r="P13" s="100" t="s">
        <v>278</v>
      </c>
      <c r="Q13" s="100"/>
      <c r="R13" s="100"/>
      <c r="S13" s="100"/>
      <c r="T13" s="100"/>
      <c r="U13" s="100"/>
      <c r="V13" s="100"/>
      <c r="W13" s="100"/>
      <c r="X13" s="100"/>
    </row>
    <row r="14" spans="1:33">
      <c r="A14" s="16">
        <v>40210</v>
      </c>
      <c r="B14" s="2">
        <v>3.4400244623722154E-2</v>
      </c>
      <c r="C14" s="2">
        <v>-5.5017930496662482E-3</v>
      </c>
      <c r="D14" s="2">
        <v>2.2830839397178559E-2</v>
      </c>
      <c r="E14" s="2">
        <v>-7.5430966256272436E-2</v>
      </c>
      <c r="F14" s="2">
        <v>4.6367822662849445E-3</v>
      </c>
      <c r="G14" s="2">
        <v>-1.4977801042748706E-2</v>
      </c>
      <c r="H14" s="2">
        <v>-5.3589064578085654E-4</v>
      </c>
      <c r="I14" s="2">
        <v>-1.2401972138423423E-2</v>
      </c>
      <c r="K14" s="3"/>
      <c r="L14" s="3" t="s">
        <v>276</v>
      </c>
      <c r="M14" s="3" t="s">
        <v>277</v>
      </c>
      <c r="N14" s="56" t="s">
        <v>295</v>
      </c>
      <c r="P14" s="43"/>
      <c r="Q14" s="43" t="s">
        <v>202</v>
      </c>
      <c r="R14" s="43" t="s">
        <v>218</v>
      </c>
      <c r="S14" s="43" t="s">
        <v>222</v>
      </c>
      <c r="T14" s="43" t="s">
        <v>226</v>
      </c>
      <c r="U14" s="43" t="s">
        <v>207</v>
      </c>
      <c r="V14" s="43" t="s">
        <v>213</v>
      </c>
      <c r="W14" s="43" t="s">
        <v>275</v>
      </c>
      <c r="X14" s="43" t="s">
        <v>261</v>
      </c>
      <c r="AA14" s="3"/>
      <c r="AB14" s="58" t="s">
        <v>290</v>
      </c>
      <c r="AC14" s="58" t="s">
        <v>279</v>
      </c>
      <c r="AD14" s="58" t="s">
        <v>291</v>
      </c>
      <c r="AE14" s="58" t="s">
        <v>294</v>
      </c>
      <c r="AF14" s="2" t="s">
        <v>402</v>
      </c>
    </row>
    <row r="15" spans="1:33">
      <c r="A15" s="16">
        <v>40238</v>
      </c>
      <c r="B15" s="2">
        <v>5.9754478523022625E-2</v>
      </c>
      <c r="C15" s="2">
        <v>6.5058617346593905E-2</v>
      </c>
      <c r="D15" s="2">
        <v>5.9394487381938088E-2</v>
      </c>
      <c r="E15" s="2">
        <v>2.1756021192540276E-2</v>
      </c>
      <c r="F15" s="2">
        <v>-6.6887199412639653E-3</v>
      </c>
      <c r="G15" s="2">
        <v>1.8794594122895081E-3</v>
      </c>
      <c r="H15" s="2">
        <v>2.7755956843775742E-3</v>
      </c>
      <c r="I15" s="2">
        <v>2.4410446977110922E-2</v>
      </c>
      <c r="K15" s="3" t="s">
        <v>202</v>
      </c>
      <c r="L15" s="10">
        <f>VTI!H3-Scorecard!I4/12</f>
        <v>6.9437373470505421E-3</v>
      </c>
      <c r="M15" s="30">
        <v>0.19659729047528732</v>
      </c>
      <c r="N15" s="66">
        <v>0.17499999999999999</v>
      </c>
      <c r="P15" s="45" t="s">
        <v>202</v>
      </c>
      <c r="Q15" s="24">
        <v>1.7652625424254696E-3</v>
      </c>
      <c r="R15" s="24">
        <v>1.8283203684906673E-3</v>
      </c>
      <c r="S15" s="24">
        <v>1.448859795605035E-3</v>
      </c>
      <c r="T15" s="24">
        <v>-7.0933138707788751E-5</v>
      </c>
      <c r="U15" s="24">
        <v>-1.8586403511128852E-4</v>
      </c>
      <c r="V15" s="24">
        <v>4.559174106522558E-5</v>
      </c>
      <c r="W15" s="24">
        <v>-8.7737419277447387E-5</v>
      </c>
      <c r="X15" s="24">
        <v>6.5902038741192943E-4</v>
      </c>
      <c r="AA15" s="67" t="s">
        <v>324</v>
      </c>
      <c r="AB15" s="9">
        <v>4.5999999999999999E-3</v>
      </c>
      <c r="AC15" s="9">
        <v>8.9999999999999998E-4</v>
      </c>
      <c r="AD15" s="9">
        <v>5.7200000000000001E-2</v>
      </c>
      <c r="AE15" s="9">
        <v>0.1013</v>
      </c>
      <c r="AF15" s="17">
        <f>AD15/AE15</f>
        <v>0.56465942744323794</v>
      </c>
    </row>
    <row r="16" spans="1:33">
      <c r="A16" s="16">
        <v>40269</v>
      </c>
      <c r="B16" s="2">
        <v>2.5868350109197635E-2</v>
      </c>
      <c r="C16" s="2">
        <v>-3.8022163899538719E-2</v>
      </c>
      <c r="D16" s="2">
        <v>-1.0993035871962875E-2</v>
      </c>
      <c r="E16" s="2">
        <v>8.4157133481441493E-2</v>
      </c>
      <c r="F16" s="2">
        <v>8.1392756726785809E-3</v>
      </c>
      <c r="G16" s="2">
        <v>2.0828217424973872E-2</v>
      </c>
      <c r="H16" s="2">
        <v>-1.447417968099951E-2</v>
      </c>
      <c r="I16" s="2">
        <v>-3.6092411910215727E-4</v>
      </c>
      <c r="K16" s="3" t="s">
        <v>218</v>
      </c>
      <c r="L16" s="10">
        <f>VGK!H3-Scorecard!I5/12</f>
        <v>4.5655376904118628E-3</v>
      </c>
      <c r="M16" s="30">
        <v>-1.39854944395871E-2</v>
      </c>
      <c r="N16" s="66">
        <v>0.17499999999999999</v>
      </c>
      <c r="P16" s="45" t="s">
        <v>218</v>
      </c>
      <c r="Q16" s="24">
        <v>1.8283203684906673E-3</v>
      </c>
      <c r="R16" s="24">
        <v>2.7876587431625273E-3</v>
      </c>
      <c r="S16" s="24">
        <v>1.8884151754270863E-3</v>
      </c>
      <c r="T16" s="24">
        <v>-1.6089169787301821E-5</v>
      </c>
      <c r="U16" s="24">
        <v>-1.6551829461460699E-4</v>
      </c>
      <c r="V16" s="24">
        <v>9.0372200302703739E-5</v>
      </c>
      <c r="W16" s="24">
        <v>2.9701409099669701E-4</v>
      </c>
      <c r="X16" s="24">
        <v>1.0665998860534597E-3</v>
      </c>
      <c r="AA16" s="67" t="s">
        <v>325</v>
      </c>
      <c r="AB16" s="9">
        <v>4.4999999999999997E-3</v>
      </c>
      <c r="AC16" s="9">
        <v>6.9999999999999999E-4</v>
      </c>
      <c r="AD16" s="9">
        <v>5.4699999999999999E-2</v>
      </c>
      <c r="AE16" s="9">
        <v>9.3299999999999994E-2</v>
      </c>
      <c r="AF16" s="17">
        <f>AD16/AE16</f>
        <v>0.5862808145766345</v>
      </c>
      <c r="AG16" s="2">
        <f>AF16-AF15</f>
        <v>2.1621387133396563E-2</v>
      </c>
    </row>
    <row r="17" spans="1:33">
      <c r="A17" s="16">
        <v>40299</v>
      </c>
      <c r="B17" s="2">
        <v>-7.8830644561699637E-2</v>
      </c>
      <c r="C17" s="2">
        <v>-0.11749454322513775</v>
      </c>
      <c r="D17" s="2">
        <v>-9.5961432497862154E-2</v>
      </c>
      <c r="E17" s="2">
        <v>-1.2158054711246313E-2</v>
      </c>
      <c r="F17" s="2">
        <v>1.579057586736754E-2</v>
      </c>
      <c r="G17" s="2">
        <v>4.6509245070804894E-3</v>
      </c>
      <c r="H17" s="2">
        <v>-3.6446343129568848E-2</v>
      </c>
      <c r="I17" s="2">
        <v>-6.4283030227831328E-2</v>
      </c>
      <c r="K17" s="3" t="s">
        <v>222</v>
      </c>
      <c r="L17" s="10">
        <f>VPL!H3-Scorecard!I15/12</f>
        <v>4.6058561578087793E-3</v>
      </c>
      <c r="M17" s="30">
        <v>1.8789660201875294E-2</v>
      </c>
      <c r="N17" s="66">
        <v>0.17499999999999999</v>
      </c>
      <c r="P17" s="45" t="s">
        <v>222</v>
      </c>
      <c r="Q17" s="24">
        <v>1.448859795605035E-3</v>
      </c>
      <c r="R17" s="24">
        <v>1.8884151754270863E-3</v>
      </c>
      <c r="S17" s="24">
        <v>1.8364780610590902E-3</v>
      </c>
      <c r="T17" s="24">
        <v>-3.138211949853288E-5</v>
      </c>
      <c r="U17" s="24">
        <v>-1.2489536093251719E-4</v>
      </c>
      <c r="V17" s="24">
        <v>8.8390942417205986E-5</v>
      </c>
      <c r="W17" s="24">
        <v>6.9598151808964949E-6</v>
      </c>
      <c r="X17" s="24">
        <v>8.1336188406498384E-4</v>
      </c>
      <c r="AA17" s="67" t="s">
        <v>326</v>
      </c>
      <c r="AB17" s="9">
        <v>4.3E-3</v>
      </c>
      <c r="AC17" s="9">
        <v>5.9999999999999995E-4</v>
      </c>
      <c r="AD17" s="9">
        <v>5.2299999999999999E-2</v>
      </c>
      <c r="AE17" s="9">
        <v>8.7099999999999997E-2</v>
      </c>
      <c r="AF17" s="17">
        <f t="shared" ref="AF17" si="0">AD17/AE17</f>
        <v>0.60045924225028702</v>
      </c>
      <c r="AG17" s="2">
        <f>AF17-AF16</f>
        <v>1.4178427673652516E-2</v>
      </c>
    </row>
    <row r="18" spans="1:33">
      <c r="A18" s="16">
        <v>40330</v>
      </c>
      <c r="B18" s="2">
        <v>-6.2934436763159241E-2</v>
      </c>
      <c r="C18" s="2">
        <v>-1.639719619167368E-2</v>
      </c>
      <c r="D18" s="2">
        <v>-2.5409724568073222E-2</v>
      </c>
      <c r="E18" s="2">
        <v>-0.10603550295857977</v>
      </c>
      <c r="F18" s="2">
        <v>2.3439351300594602E-2</v>
      </c>
      <c r="G18" s="2">
        <v>9.1858566294500399E-3</v>
      </c>
      <c r="H18" s="2">
        <v>1.1479464871226863E-2</v>
      </c>
      <c r="I18" s="2">
        <v>2.4852145088594124E-3</v>
      </c>
      <c r="K18" s="3" t="s">
        <v>226</v>
      </c>
      <c r="L18" s="10">
        <f>VWO!H3-Scorecard!I20/12</f>
        <v>4.0295501993861072E-3</v>
      </c>
      <c r="M18" s="30">
        <v>4.4603793542928059E-2</v>
      </c>
      <c r="N18" s="66">
        <v>0.17499999999999999</v>
      </c>
      <c r="P18" s="45" t="s">
        <v>226</v>
      </c>
      <c r="Q18" s="24">
        <v>-7.0933138707788751E-5</v>
      </c>
      <c r="R18" s="24">
        <v>-1.6089169787301821E-5</v>
      </c>
      <c r="S18" s="24">
        <v>-3.138211949853288E-5</v>
      </c>
      <c r="T18" s="24">
        <v>3.0057139333554465E-3</v>
      </c>
      <c r="U18" s="24">
        <v>-4.7712357243474548E-5</v>
      </c>
      <c r="V18" s="24">
        <v>-4.1085350119373168E-5</v>
      </c>
      <c r="W18" s="24">
        <v>-2.8781323294110314E-4</v>
      </c>
      <c r="X18" s="24">
        <v>2.7966937447077359E-6</v>
      </c>
    </row>
    <row r="19" spans="1:33">
      <c r="A19" s="16">
        <v>40360</v>
      </c>
      <c r="B19" s="2">
        <v>7.5378438531465752E-2</v>
      </c>
      <c r="C19" s="2">
        <v>0.14182595175896151</v>
      </c>
      <c r="D19" s="2">
        <v>7.5483503781511585E-2</v>
      </c>
      <c r="E19" s="2">
        <v>9.7961080222399577E-3</v>
      </c>
      <c r="F19" s="2">
        <v>8.3233482278302073E-3</v>
      </c>
      <c r="G19" s="2">
        <v>4.782820128346188E-5</v>
      </c>
      <c r="H19" s="2">
        <v>6.1023168669068095E-2</v>
      </c>
      <c r="I19" s="2">
        <v>5.8363492623747737E-2</v>
      </c>
      <c r="K19" s="3" t="s">
        <v>207</v>
      </c>
      <c r="L19" s="10">
        <f>VGIT!H3-Scorecard!I5/12</f>
        <v>2.8976175082942013E-3</v>
      </c>
      <c r="M19" s="30">
        <v>0.88050962948845257</v>
      </c>
      <c r="N19" s="66">
        <v>7.4999999999999997E-2</v>
      </c>
      <c r="P19" s="45" t="s">
        <v>207</v>
      </c>
      <c r="Q19" s="24">
        <v>-1.8586403511128852E-4</v>
      </c>
      <c r="R19" s="24">
        <v>-1.6551829461460699E-4</v>
      </c>
      <c r="S19" s="24">
        <v>-1.2489536093251719E-4</v>
      </c>
      <c r="T19" s="24">
        <v>-4.7712357243474548E-5</v>
      </c>
      <c r="U19" s="24">
        <v>1.2129152633337542E-4</v>
      </c>
      <c r="V19" s="24">
        <v>9.5522599172516084E-5</v>
      </c>
      <c r="W19" s="24">
        <v>2.4313748636668058E-5</v>
      </c>
      <c r="X19" s="24">
        <v>2.0942975565693252E-5</v>
      </c>
      <c r="AA19" s="68" t="s">
        <v>327</v>
      </c>
    </row>
    <row r="20" spans="1:33">
      <c r="A20" s="16">
        <v>40391</v>
      </c>
      <c r="B20" s="2">
        <v>-4.7110998593358544E-2</v>
      </c>
      <c r="C20" s="2">
        <v>-4.5761801400364344E-2</v>
      </c>
      <c r="D20" s="2">
        <v>-2.4242343446525871E-2</v>
      </c>
      <c r="E20" s="2">
        <v>0.12008395700272567</v>
      </c>
      <c r="F20" s="2">
        <v>1.9990469683413004E-2</v>
      </c>
      <c r="G20" s="2">
        <v>2.026143244789691E-2</v>
      </c>
      <c r="H20" s="2">
        <v>1.7184382644142904E-2</v>
      </c>
      <c r="I20" s="2">
        <v>1.4270437199762842E-2</v>
      </c>
      <c r="K20" s="3" t="s">
        <v>213</v>
      </c>
      <c r="L20" s="10">
        <f>TIP!H3-Scorecard!I6/12</f>
        <v>3.3802607175204323E-3</v>
      </c>
      <c r="M20" s="30">
        <v>-1.3310909567360798E-2</v>
      </c>
      <c r="N20" s="66">
        <v>7.4999999999999997E-2</v>
      </c>
      <c r="P20" s="45" t="s">
        <v>213</v>
      </c>
      <c r="Q20" s="24">
        <v>4.559174106522558E-5</v>
      </c>
      <c r="R20" s="24">
        <v>9.0372200302703739E-5</v>
      </c>
      <c r="S20" s="24">
        <v>8.8390942417205986E-5</v>
      </c>
      <c r="T20" s="24">
        <v>-4.1085350119373168E-5</v>
      </c>
      <c r="U20" s="24">
        <v>9.5522599172516084E-5</v>
      </c>
      <c r="V20" s="24">
        <v>1.6895217344402105E-4</v>
      </c>
      <c r="W20" s="24">
        <v>7.8883686484592408E-5</v>
      </c>
      <c r="X20" s="24">
        <v>1.7470406945810238E-4</v>
      </c>
      <c r="AA20" s="68" t="s">
        <v>328</v>
      </c>
    </row>
    <row r="21" spans="1:33">
      <c r="A21" s="16">
        <v>40422</v>
      </c>
      <c r="B21" s="2">
        <v>8.8992368416201284E-2</v>
      </c>
      <c r="C21" s="2">
        <v>0.11258308059135103</v>
      </c>
      <c r="D21" s="2">
        <v>7.8942020522523526E-2</v>
      </c>
      <c r="E21" s="2">
        <v>-2.7387686624820162E-2</v>
      </c>
      <c r="F21" s="2">
        <v>3.620571932604566E-3</v>
      </c>
      <c r="G21" s="2">
        <v>9.398106724695765E-3</v>
      </c>
      <c r="H21" s="2">
        <v>3.3614691117789475E-2</v>
      </c>
      <c r="I21" s="2">
        <v>5.9884285810907656E-2</v>
      </c>
      <c r="K21" s="3" t="s">
        <v>275</v>
      </c>
      <c r="L21" s="10">
        <f>BWX!H3-Scorecard!I25/12</f>
        <v>4.964654056268324E-3</v>
      </c>
      <c r="M21" s="30">
        <v>1.2241863224983185E-2</v>
      </c>
      <c r="N21" s="66">
        <v>7.4999999999999997E-2</v>
      </c>
      <c r="P21" s="45" t="s">
        <v>275</v>
      </c>
      <c r="Q21" s="24">
        <v>-8.7737419277447387E-5</v>
      </c>
      <c r="R21" s="24">
        <v>2.9701409099669701E-4</v>
      </c>
      <c r="S21" s="24">
        <v>6.9598151808964949E-6</v>
      </c>
      <c r="T21" s="24">
        <v>-2.8781323294110314E-4</v>
      </c>
      <c r="U21" s="24">
        <v>2.4313748636668058E-5</v>
      </c>
      <c r="V21" s="24">
        <v>7.8883686484592408E-5</v>
      </c>
      <c r="W21" s="24">
        <v>1.0551995107496383E-2</v>
      </c>
      <c r="X21" s="24">
        <v>2.7146269667999569E-4</v>
      </c>
      <c r="AA21" s="68" t="s">
        <v>393</v>
      </c>
    </row>
    <row r="22" spans="1:33">
      <c r="A22" s="16">
        <v>40452</v>
      </c>
      <c r="B22" s="2">
        <v>4.5652144498119052E-2</v>
      </c>
      <c r="C22" s="2">
        <v>4.8850583057850949E-2</v>
      </c>
      <c r="D22" s="2">
        <v>1.9869831854348874E-2</v>
      </c>
      <c r="E22" s="2">
        <v>0.10709990630806043</v>
      </c>
      <c r="F22" s="2">
        <v>3.8946902281176143E-3</v>
      </c>
      <c r="G22" s="2">
        <v>2.3757454657800769E-2</v>
      </c>
      <c r="H22" s="2">
        <v>2.1347377879423313E-2</v>
      </c>
      <c r="I22" s="2">
        <v>1.8379867436496333E-2</v>
      </c>
      <c r="K22" s="3" t="s">
        <v>261</v>
      </c>
      <c r="L22" s="10">
        <f>WIP!H3-Scorecard!I26/12</f>
        <v>1.1034540817286566E-3</v>
      </c>
      <c r="M22" s="30">
        <v>-0.12544583292657832</v>
      </c>
      <c r="N22" s="66">
        <v>7.4999999999999997E-2</v>
      </c>
      <c r="P22" s="45" t="s">
        <v>261</v>
      </c>
      <c r="Q22" s="24">
        <v>6.5902038741192943E-4</v>
      </c>
      <c r="R22" s="24">
        <v>1.0665998860534597E-3</v>
      </c>
      <c r="S22" s="24">
        <v>8.1336188406498384E-4</v>
      </c>
      <c r="T22" s="24">
        <v>2.7966937447077359E-6</v>
      </c>
      <c r="U22" s="24">
        <v>2.0942975565693252E-5</v>
      </c>
      <c r="V22" s="24">
        <v>1.7470406945810238E-4</v>
      </c>
      <c r="W22" s="24">
        <v>2.7146269667999569E-4</v>
      </c>
      <c r="X22" s="24">
        <v>7.9429282317450051E-4</v>
      </c>
      <c r="AA22" s="68" t="s">
        <v>347</v>
      </c>
      <c r="AD22" s="1">
        <f>(1+AD16)^(1/12)-1</f>
        <v>4.4478931673448407E-3</v>
      </c>
      <c r="AE22" s="1">
        <f>AE16/SQRT(12)</f>
        <v>2.693339005769604E-2</v>
      </c>
    </row>
    <row r="23" spans="1:33">
      <c r="A23" s="16">
        <v>40483</v>
      </c>
      <c r="B23" s="2">
        <v>5.1054424662309028E-3</v>
      </c>
      <c r="C23" s="2">
        <v>-7.8082475402394769E-2</v>
      </c>
      <c r="D23" s="2">
        <v>6.373116977072435E-3</v>
      </c>
      <c r="E23" s="2">
        <v>2.9130434782608683E-2</v>
      </c>
      <c r="F23" s="2">
        <v>-1.064538746835153E-2</v>
      </c>
      <c r="G23" s="2">
        <v>-1.7956640582432626E-2</v>
      </c>
      <c r="H23" s="2">
        <v>-6.841967379240621E-2</v>
      </c>
      <c r="I23" s="2">
        <v>-5.3476087935461658E-2</v>
      </c>
      <c r="L23" s="2"/>
      <c r="M23" s="42">
        <f>SUM(M15:M22)</f>
        <v>1.0000000000000002</v>
      </c>
      <c r="N23" s="57">
        <f>SUM(N15:N22)</f>
        <v>0.99999999999999978</v>
      </c>
    </row>
    <row r="24" spans="1:33">
      <c r="A24" s="16">
        <v>40513</v>
      </c>
      <c r="B24" s="2">
        <v>6.3902860133794315E-2</v>
      </c>
      <c r="C24" s="2">
        <v>4.202976566719907E-2</v>
      </c>
      <c r="D24" s="2">
        <v>3.2024558587297136E-2</v>
      </c>
      <c r="E24" s="2">
        <v>-1.3941698352344822E-2</v>
      </c>
      <c r="F24" s="2">
        <v>-2.7943486424842456E-2</v>
      </c>
      <c r="G24" s="2">
        <v>-1.5654233450105526E-2</v>
      </c>
      <c r="H24" s="2">
        <v>2.4715167293142049E-2</v>
      </c>
      <c r="I24" s="2">
        <v>2.5953345670335359E-2</v>
      </c>
      <c r="AC24" s="1"/>
    </row>
    <row r="25" spans="1:33">
      <c r="A25" s="16">
        <v>40544</v>
      </c>
      <c r="B25" s="2">
        <v>2.5942286737766773E-2</v>
      </c>
      <c r="C25" s="2">
        <v>8.5963828266453657E-2</v>
      </c>
      <c r="D25" s="2">
        <v>3.8729391379374478E-2</v>
      </c>
      <c r="E25" s="2">
        <v>4.027422879177367E-2</v>
      </c>
      <c r="F25" s="2">
        <v>1.1006916445436943E-2</v>
      </c>
      <c r="G25" s="2">
        <v>4.2862284878748547E-3</v>
      </c>
      <c r="H25" s="2">
        <v>1.4654941119001341E-2</v>
      </c>
      <c r="I25" s="2">
        <v>2.2494675581213208E-2</v>
      </c>
      <c r="AB25" s="1"/>
      <c r="AC25" s="1"/>
      <c r="AD25" s="69"/>
    </row>
    <row r="26" spans="1:33">
      <c r="A26" s="16">
        <v>40575</v>
      </c>
      <c r="B26" s="2">
        <v>3.6975829066714594E-2</v>
      </c>
      <c r="C26" s="2">
        <v>3.1237712151952035E-2</v>
      </c>
      <c r="D26" s="2">
        <v>4.265389737812697E-2</v>
      </c>
      <c r="E26" s="2">
        <v>-3.3154859284290406E-2</v>
      </c>
      <c r="F26" s="2">
        <v>-5.7394878983264563E-3</v>
      </c>
      <c r="G26" s="2">
        <v>5.6729039843044227E-3</v>
      </c>
      <c r="H26" s="2">
        <v>6.6169084499996256E-3</v>
      </c>
      <c r="I26" s="2">
        <v>2.3972928031784635E-2</v>
      </c>
      <c r="K26" s="15" t="s">
        <v>290</v>
      </c>
      <c r="L26" s="9">
        <f>SUMPRODUCT(M15:M22,$L$15:$L$22)</f>
        <v>3.9962830169673154E-3</v>
      </c>
      <c r="N26" s="15" t="s">
        <v>291</v>
      </c>
      <c r="O26" s="9">
        <f>(1+L26)^12-1</f>
        <v>4.9023602394204779E-2</v>
      </c>
      <c r="P26" s="101"/>
      <c r="Q26" s="58" t="s">
        <v>290</v>
      </c>
      <c r="R26" s="9">
        <f>SUMPRODUCT(N15:N22,$L$15:$L$22)</f>
        <v>4.4512682213508972E-3</v>
      </c>
      <c r="T26" s="58" t="s">
        <v>291</v>
      </c>
      <c r="U26" s="9">
        <f>(1+R26)^12-1</f>
        <v>5.4742527664440654E-2</v>
      </c>
      <c r="W26" s="1"/>
      <c r="AB26" s="17"/>
      <c r="AC26" s="17"/>
    </row>
    <row r="27" spans="1:33">
      <c r="A27" s="16">
        <v>40603</v>
      </c>
      <c r="B27" s="2">
        <v>0</v>
      </c>
      <c r="C27" s="2">
        <v>-1.028741037055636E-2</v>
      </c>
      <c r="D27" s="2">
        <v>-6.0101103931197053E-2</v>
      </c>
      <c r="E27" s="2">
        <v>-5.5378486573408603E-3</v>
      </c>
      <c r="F27" s="2">
        <v>-1.8032619673566952E-3</v>
      </c>
      <c r="G27" s="2">
        <v>1.0880522885184929E-2</v>
      </c>
      <c r="H27" s="2">
        <v>8.4275175998329566E-3</v>
      </c>
      <c r="I27" s="2">
        <v>1.0869356931526575E-2</v>
      </c>
      <c r="K27" s="15" t="s">
        <v>279</v>
      </c>
      <c r="L27" s="9" cm="1">
        <f t="array" ref="L27">MMULT(TRANSPOSE(M15:M22),MMULT($Q$15:$X$22,M15:M22))</f>
        <v>7.3496427851599069E-5</v>
      </c>
      <c r="N27" s="15" t="s">
        <v>294</v>
      </c>
      <c r="O27" s="9">
        <f>SQRT(L27*12)</f>
        <v>2.969776311810687E-2</v>
      </c>
      <c r="P27" s="101"/>
      <c r="Q27" s="58" t="s">
        <v>279</v>
      </c>
      <c r="R27" s="9" cm="1">
        <f t="array" ref="R27">MMULT(TRANSPOSE(N15:N22),MMULT($Q$15:$X$22,N15:N22))</f>
        <v>7.257107546961804E-4</v>
      </c>
      <c r="T27" s="58" t="s">
        <v>294</v>
      </c>
      <c r="U27" s="1">
        <f>SQRT(R27*12)</f>
        <v>9.3319499871967609E-2</v>
      </c>
    </row>
    <row r="28" spans="1:33">
      <c r="A28" s="16">
        <v>40634</v>
      </c>
      <c r="B28" s="2">
        <v>3.3268788289725348E-2</v>
      </c>
      <c r="C28" s="2">
        <v>8.3156613788343714E-2</v>
      </c>
      <c r="D28" s="2">
        <v>3.5106729559690297E-2</v>
      </c>
      <c r="E28" s="2">
        <v>6.1683466731280001E-2</v>
      </c>
      <c r="F28" s="2">
        <v>1.5936985729863462E-2</v>
      </c>
      <c r="G28" s="2">
        <v>2.0908065096785666E-2</v>
      </c>
      <c r="H28" s="2">
        <v>4.8804997821681795E-2</v>
      </c>
      <c r="I28" s="2">
        <v>4.9793551584844886E-2</v>
      </c>
      <c r="AE28" s="2"/>
    </row>
    <row r="29" spans="1:33">
      <c r="A29" s="16">
        <v>40664</v>
      </c>
      <c r="B29" s="2">
        <v>-1.0608552426399021E-2</v>
      </c>
      <c r="C29" s="2">
        <v>-2.8434270778087911E-2</v>
      </c>
      <c r="D29" s="2">
        <v>-2.8724452271155498E-2</v>
      </c>
      <c r="E29" s="2">
        <v>2.4611680451886109E-2</v>
      </c>
      <c r="F29" s="2">
        <v>1.908786100504356E-2</v>
      </c>
      <c r="G29" s="2">
        <v>2.6469997168496739E-3</v>
      </c>
      <c r="H29" s="2">
        <v>-1.3546152276012857E-2</v>
      </c>
      <c r="I29" s="2">
        <v>-1.8279423620417012E-2</v>
      </c>
      <c r="K29" s="15" t="s">
        <v>287</v>
      </c>
      <c r="L29" s="10">
        <v>1E-3</v>
      </c>
      <c r="M29" s="10">
        <v>1.5E-3</v>
      </c>
      <c r="N29" s="10">
        <v>2E-3</v>
      </c>
      <c r="O29" s="10">
        <v>2.5000000000000001E-3</v>
      </c>
      <c r="P29" s="10">
        <v>3.0000000000000001E-3</v>
      </c>
      <c r="Q29" s="10">
        <v>3.5000000000000001E-3</v>
      </c>
      <c r="R29" s="50">
        <v>4.0000000000000001E-3</v>
      </c>
      <c r="S29" s="10">
        <v>4.4999999999999997E-3</v>
      </c>
      <c r="T29" s="10">
        <v>5.0000000000000001E-3</v>
      </c>
      <c r="U29" s="10">
        <v>5.4999999999999997E-3</v>
      </c>
      <c r="V29" s="10">
        <v>6.0000000000000001E-3</v>
      </c>
      <c r="W29" s="10">
        <v>6.4999999999999997E-3</v>
      </c>
      <c r="X29" s="10">
        <v>7.0000000000000001E-3</v>
      </c>
      <c r="Y29" s="10">
        <v>7.4999999999999997E-3</v>
      </c>
      <c r="Z29" s="10">
        <v>8.0000000000000002E-3</v>
      </c>
      <c r="AE29" s="48"/>
    </row>
    <row r="30" spans="1:33">
      <c r="A30" s="16">
        <v>40695</v>
      </c>
      <c r="B30" s="2">
        <v>-2.2158662267571461E-2</v>
      </c>
      <c r="C30" s="2">
        <v>-2.0852621704780416E-2</v>
      </c>
      <c r="D30" s="2">
        <v>7.3042254561928033E-3</v>
      </c>
      <c r="E30" s="2">
        <v>-3.5046327327301952E-2</v>
      </c>
      <c r="F30" s="2">
        <v>-2.265874614631902E-3</v>
      </c>
      <c r="G30" s="2">
        <v>3.37709474889758E-3</v>
      </c>
      <c r="H30" s="2">
        <v>-2.1004809626922194E-3</v>
      </c>
      <c r="I30" s="2">
        <v>-6.0995049059764384E-3</v>
      </c>
      <c r="K30" s="15" t="s">
        <v>288</v>
      </c>
      <c r="L30" s="10">
        <v>2.7583236685592801E-4</v>
      </c>
      <c r="M30" s="10">
        <v>2.066506226087424E-4</v>
      </c>
      <c r="N30" s="10">
        <v>1.5166084162490163E-4</v>
      </c>
      <c r="O30" s="10">
        <v>1.1086303745502579E-4</v>
      </c>
      <c r="P30" s="10">
        <v>8.4257208447109687E-5</v>
      </c>
      <c r="Q30" s="10">
        <v>7.1843355173704693E-5</v>
      </c>
      <c r="R30" s="50">
        <v>7.3621478091131278E-5</v>
      </c>
      <c r="S30" s="10">
        <v>8.9591576040905639E-5</v>
      </c>
      <c r="T30" s="10">
        <v>1.1975365088420823E-4</v>
      </c>
      <c r="U30" s="10">
        <v>1.6410770310926209E-4</v>
      </c>
      <c r="V30" s="10">
        <v>2.2265372821821708E-4</v>
      </c>
      <c r="W30" s="10">
        <v>2.9539173205424832E-4</v>
      </c>
      <c r="X30" s="10">
        <v>3.8232171054107913E-4</v>
      </c>
      <c r="Y30" s="10">
        <v>4.8344366026388985E-4</v>
      </c>
      <c r="Z30" s="10">
        <v>5.9875759150977009E-4</v>
      </c>
    </row>
    <row r="31" spans="1:33">
      <c r="A31" s="16">
        <v>40725</v>
      </c>
      <c r="B31" s="2">
        <v>-1.84998525854011E-2</v>
      </c>
      <c r="C31" s="2">
        <v>-4.5955599507798373E-2</v>
      </c>
      <c r="D31" s="2">
        <v>9.7278337217747701E-3</v>
      </c>
      <c r="E31" s="2">
        <v>-8.3656400067595449E-3</v>
      </c>
      <c r="F31" s="2">
        <v>2.1859315283671243E-2</v>
      </c>
      <c r="G31" s="2">
        <v>4.1762876206929533E-2</v>
      </c>
      <c r="H31" s="2">
        <v>1.6445028299574505E-2</v>
      </c>
      <c r="I31" s="2">
        <v>2.2111081933162691E-2</v>
      </c>
      <c r="K31" s="3"/>
      <c r="L31" s="3"/>
      <c r="M31" s="3"/>
      <c r="N31" s="3"/>
      <c r="O31" s="3"/>
      <c r="P31" s="3"/>
      <c r="Q31" s="3"/>
      <c r="R31" s="51"/>
      <c r="S31" s="3"/>
      <c r="T31" s="3"/>
      <c r="U31" s="3"/>
      <c r="V31" s="3"/>
      <c r="W31" s="3"/>
      <c r="X31" s="3"/>
      <c r="Y31" s="3"/>
      <c r="Z31" s="3"/>
    </row>
    <row r="32" spans="1:33">
      <c r="A32" s="16">
        <v>40756</v>
      </c>
      <c r="B32" s="2">
        <v>-6.0882675200620184E-2</v>
      </c>
      <c r="C32" s="2">
        <v>-9.2813368741213376E-2</v>
      </c>
      <c r="D32" s="2">
        <v>-6.568587157544814E-2</v>
      </c>
      <c r="E32" s="2">
        <v>4.9383129604245735E-3</v>
      </c>
      <c r="F32" s="2">
        <v>2.7782041345483899E-2</v>
      </c>
      <c r="G32" s="2">
        <v>8.1935925611902327E-3</v>
      </c>
      <c r="H32" s="2">
        <v>9.5434370946141378E-3</v>
      </c>
      <c r="I32" s="2">
        <v>-4.4532729798480997E-3</v>
      </c>
      <c r="K32" s="3"/>
      <c r="L32" s="3"/>
      <c r="M32" s="3"/>
      <c r="N32" s="3"/>
      <c r="O32" s="3"/>
      <c r="P32" s="3"/>
      <c r="Q32" s="3"/>
      <c r="R32" s="51"/>
      <c r="S32" s="3"/>
      <c r="T32" s="3"/>
      <c r="U32" s="3"/>
      <c r="V32" s="3"/>
      <c r="W32" s="3"/>
      <c r="X32" s="3"/>
      <c r="Y32" s="3"/>
      <c r="Z32" s="3"/>
    </row>
    <row r="33" spans="1:26">
      <c r="A33" s="16">
        <v>40787</v>
      </c>
      <c r="B33" s="2">
        <v>-8.0598940960112331E-2</v>
      </c>
      <c r="C33" s="2">
        <v>-0.12238304425297586</v>
      </c>
      <c r="D33" s="2">
        <v>-9.1488640652684361E-2</v>
      </c>
      <c r="E33" s="2">
        <v>-9.828007780507797E-2</v>
      </c>
      <c r="F33" s="2">
        <v>5.4769787626516298E-3</v>
      </c>
      <c r="G33" s="2">
        <v>4.9389700996984587E-3</v>
      </c>
      <c r="H33" s="2">
        <v>-4.4727693051170969E-2</v>
      </c>
      <c r="I33" s="2">
        <v>-7.3014764051414272E-2</v>
      </c>
      <c r="K33" s="15" t="s">
        <v>281</v>
      </c>
      <c r="L33" s="3"/>
      <c r="M33" s="3"/>
      <c r="N33" s="3"/>
      <c r="O33" s="3"/>
      <c r="P33" s="3"/>
      <c r="Q33" s="3"/>
      <c r="R33" s="51"/>
      <c r="S33" s="3"/>
      <c r="T33" s="3"/>
      <c r="U33" s="3"/>
      <c r="V33" s="3"/>
      <c r="W33" s="3"/>
      <c r="X33" s="3"/>
      <c r="Y33" s="3"/>
      <c r="Z33" s="3"/>
    </row>
    <row r="34" spans="1:26">
      <c r="A34" s="16">
        <v>40817</v>
      </c>
      <c r="B34" s="2">
        <v>0.11956176194090418</v>
      </c>
      <c r="C34" s="2">
        <v>0.12420060291248691</v>
      </c>
      <c r="D34" s="2">
        <v>5.4271844737616703E-2</v>
      </c>
      <c r="E34" s="2">
        <v>-0.18505907845006619</v>
      </c>
      <c r="F34" s="2">
        <v>-4.8932361699978166E-3</v>
      </c>
      <c r="G34" s="2">
        <v>1.9249363762783078E-2</v>
      </c>
      <c r="H34" s="2">
        <v>2.1311876422403619E-2</v>
      </c>
      <c r="I34" s="2">
        <v>3.4752559101827618E-2</v>
      </c>
      <c r="K34" s="3" t="s">
        <v>202</v>
      </c>
      <c r="L34" s="30">
        <v>-0.10701229327082554</v>
      </c>
      <c r="M34" s="30">
        <v>-5.6022773390545781E-2</v>
      </c>
      <c r="N34" s="30">
        <v>-5.0332446552083096E-3</v>
      </c>
      <c r="O34" s="30">
        <v>4.5955913757572381E-2</v>
      </c>
      <c r="P34" s="30">
        <v>9.694502204692515E-2</v>
      </c>
      <c r="Q34" s="30">
        <v>0.14793360181938345</v>
      </c>
      <c r="R34" s="52">
        <v>0.19659729047528732</v>
      </c>
      <c r="S34" s="30">
        <v>0.24991189516832926</v>
      </c>
      <c r="T34" s="30">
        <v>0.3009011819941268</v>
      </c>
      <c r="U34" s="30">
        <v>0.3518903148442829</v>
      </c>
      <c r="V34" s="30">
        <v>0.40287923194106123</v>
      </c>
      <c r="W34" s="30">
        <v>0.453868684336446</v>
      </c>
      <c r="X34" s="30">
        <v>0.50485725893513733</v>
      </c>
      <c r="Y34" s="30">
        <v>0.55584608005189795</v>
      </c>
      <c r="Z34" s="30">
        <v>0.60683604160998272</v>
      </c>
    </row>
    <row r="35" spans="1:26">
      <c r="A35" s="16">
        <v>40848</v>
      </c>
      <c r="B35" s="2">
        <v>-3.7335393521098492E-3</v>
      </c>
      <c r="C35" s="2">
        <v>-2.865887504839526E-2</v>
      </c>
      <c r="D35" s="2">
        <v>-5.0893265035255597E-3</v>
      </c>
      <c r="E35" s="2">
        <v>0.1153524690819856</v>
      </c>
      <c r="F35" s="2">
        <v>6.3231078855003897E-3</v>
      </c>
      <c r="G35" s="2">
        <v>3.6652755900195011E-3</v>
      </c>
      <c r="H35" s="2">
        <v>-2.8130433937275545E-2</v>
      </c>
      <c r="I35" s="2">
        <v>-2.6569678756355408E-2</v>
      </c>
      <c r="K35" s="3" t="s">
        <v>218</v>
      </c>
      <c r="L35" s="30">
        <v>-5.1819182756980595E-2</v>
      </c>
      <c r="M35" s="30">
        <v>-4.5956149357394775E-2</v>
      </c>
      <c r="N35" s="30">
        <v>-4.0093107815169463E-2</v>
      </c>
      <c r="O35" s="30">
        <v>-3.4229862876149646E-2</v>
      </c>
      <c r="P35" s="30">
        <v>-2.8366770149338305E-2</v>
      </c>
      <c r="Q35" s="30">
        <v>-2.2503323135050886E-2</v>
      </c>
      <c r="R35" s="52">
        <v>-1.39854944395871E-2</v>
      </c>
      <c r="S35" s="30">
        <v>-1.0776546997083919E-2</v>
      </c>
      <c r="T35" s="30">
        <v>-4.9132073047767994E-3</v>
      </c>
      <c r="U35" s="30">
        <v>9.5019884909575028E-4</v>
      </c>
      <c r="V35" s="30">
        <v>6.8136028090712434E-3</v>
      </c>
      <c r="W35" s="30">
        <v>1.2676563482021156E-2</v>
      </c>
      <c r="X35" s="30">
        <v>1.8540214480994438E-2</v>
      </c>
      <c r="Y35" s="30">
        <v>2.4403661987949774E-2</v>
      </c>
      <c r="Z35" s="30">
        <v>3.0266203529223681E-2</v>
      </c>
    </row>
    <row r="36" spans="1:26">
      <c r="A36" s="16">
        <v>40878</v>
      </c>
      <c r="B36" s="2">
        <v>4.0599034950281609E-3</v>
      </c>
      <c r="C36" s="2">
        <v>-6.6891819643976835E-2</v>
      </c>
      <c r="D36" s="2">
        <v>-6.3741862537405769E-2</v>
      </c>
      <c r="E36" s="2">
        <v>1.9735224075324131E-2</v>
      </c>
      <c r="F36" s="2">
        <v>8.6118466106406277E-3</v>
      </c>
      <c r="G36" s="2">
        <v>2.6704894924476363E-3</v>
      </c>
      <c r="H36" s="2">
        <v>-5.4746553596340952E-4</v>
      </c>
      <c r="I36" s="2">
        <v>-1.0044245592759293E-2</v>
      </c>
      <c r="K36" s="3" t="s">
        <v>222</v>
      </c>
      <c r="L36" s="30">
        <v>2.6230423082093529E-3</v>
      </c>
      <c r="M36" s="30">
        <v>5.1165082485122582E-3</v>
      </c>
      <c r="N36" s="30">
        <v>7.6098476656552439E-3</v>
      </c>
      <c r="O36" s="30">
        <v>1.0103523738426478E-2</v>
      </c>
      <c r="P36" s="30">
        <v>1.2597576116826263E-2</v>
      </c>
      <c r="Q36" s="30">
        <v>1.5091102390081219E-2</v>
      </c>
      <c r="R36" s="52">
        <v>1.8789660201875294E-2</v>
      </c>
      <c r="S36" s="30">
        <v>2.0078446266818865E-2</v>
      </c>
      <c r="T36" s="30">
        <v>2.2572134665386455E-2</v>
      </c>
      <c r="U36" s="30">
        <v>2.5065591867596087E-2</v>
      </c>
      <c r="V36" s="30">
        <v>2.755938860040158E-2</v>
      </c>
      <c r="W36" s="30">
        <v>3.0052853310857313E-2</v>
      </c>
      <c r="X36" s="30">
        <v>3.2546822291811862E-2</v>
      </c>
      <c r="Y36" s="30">
        <v>3.5040972013124803E-2</v>
      </c>
      <c r="Z36" s="30">
        <v>3.7534110765605581E-2</v>
      </c>
    </row>
    <row r="37" spans="1:26">
      <c r="A37" s="16">
        <v>40909</v>
      </c>
      <c r="B37" s="2">
        <v>5.6676038385607974E-2</v>
      </c>
      <c r="C37" s="2">
        <v>0.10371838029855396</v>
      </c>
      <c r="D37" s="2">
        <v>0.10228831636348357</v>
      </c>
      <c r="E37" s="2">
        <v>-3.944147476727089E-2</v>
      </c>
      <c r="F37" s="2">
        <v>8.1992507936106129E-3</v>
      </c>
      <c r="G37" s="2">
        <v>2.4997105496170624E-2</v>
      </c>
      <c r="H37" s="2">
        <v>3.9421985432203765E-2</v>
      </c>
      <c r="I37" s="2">
        <v>6.5502993748534299E-2</v>
      </c>
      <c r="K37" s="3" t="s">
        <v>226</v>
      </c>
      <c r="L37" s="30">
        <v>1.8374136293571972E-2</v>
      </c>
      <c r="M37" s="30">
        <v>2.2757781300044529E-2</v>
      </c>
      <c r="N37" s="30">
        <v>2.714164656984263E-2</v>
      </c>
      <c r="O37" s="30">
        <v>3.1525301961692058E-2</v>
      </c>
      <c r="P37" s="30">
        <v>3.5908849364712198E-2</v>
      </c>
      <c r="Q37" s="30">
        <v>4.0292687808417896E-2</v>
      </c>
      <c r="R37" s="52">
        <v>4.4603793542928059E-2</v>
      </c>
      <c r="S37" s="30">
        <v>4.9060007984856255E-2</v>
      </c>
      <c r="T37" s="30">
        <v>5.3443529451778632E-2</v>
      </c>
      <c r="U37" s="30">
        <v>5.782759700953681E-2</v>
      </c>
      <c r="V37" s="30">
        <v>6.2211321165856516E-2</v>
      </c>
      <c r="W37" s="30">
        <v>6.6594990045708694E-2</v>
      </c>
      <c r="X37" s="30">
        <v>7.0978711071228703E-2</v>
      </c>
      <c r="Y37" s="30">
        <v>7.5361868779050864E-2</v>
      </c>
      <c r="Z37" s="30">
        <v>7.9745517259413104E-2</v>
      </c>
    </row>
    <row r="38" spans="1:26">
      <c r="A38" s="16">
        <v>40940</v>
      </c>
      <c r="B38" s="2">
        <v>4.2184488225937677E-2</v>
      </c>
      <c r="C38" s="2">
        <v>5.4245775384284434E-2</v>
      </c>
      <c r="D38" s="2">
        <v>4.1765257276154655E-2</v>
      </c>
      <c r="E38" s="2">
        <v>9.6404057546647604E-2</v>
      </c>
      <c r="F38" s="2">
        <v>-7.2415512089768486E-3</v>
      </c>
      <c r="G38" s="2">
        <v>-5.7810926355039705E-3</v>
      </c>
      <c r="H38" s="2">
        <v>9.9241550747852791E-4</v>
      </c>
      <c r="I38" s="2">
        <v>2.4082437051925254E-2</v>
      </c>
      <c r="K38" s="3" t="s">
        <v>207</v>
      </c>
      <c r="L38" s="30">
        <v>1.429336084354649</v>
      </c>
      <c r="M38" s="30">
        <v>1.3353707209381642</v>
      </c>
      <c r="N38" s="30">
        <v>1.24140433563688</v>
      </c>
      <c r="O38" s="30">
        <v>1.1474385558469815</v>
      </c>
      <c r="P38" s="30">
        <v>1.0534738701407891</v>
      </c>
      <c r="Q38" s="30">
        <v>0.95950680271331024</v>
      </c>
      <c r="R38" s="52">
        <v>0.88050962948845257</v>
      </c>
      <c r="S38" s="30">
        <v>0.77157573315402872</v>
      </c>
      <c r="T38" s="30">
        <v>0.67761016671446817</v>
      </c>
      <c r="U38" s="30">
        <v>0.58364302820678005</v>
      </c>
      <c r="V38" s="30">
        <v>0.48967712197360919</v>
      </c>
      <c r="W38" s="30">
        <v>0.39571132084052918</v>
      </c>
      <c r="X38" s="30">
        <v>0.30174565346986387</v>
      </c>
      <c r="Y38" s="30">
        <v>0.2077816935071703</v>
      </c>
      <c r="Z38" s="30">
        <v>0.113815454468011</v>
      </c>
    </row>
    <row r="39" spans="1:26">
      <c r="A39" s="16">
        <v>40969</v>
      </c>
      <c r="B39" s="2">
        <v>2.6274673920857472E-2</v>
      </c>
      <c r="C39" s="2">
        <v>6.5131078833968736E-4</v>
      </c>
      <c r="D39" s="2">
        <v>4.9166085357645883E-3</v>
      </c>
      <c r="E39" s="2">
        <v>4.2335401612682011E-2</v>
      </c>
      <c r="F39" s="2">
        <v>-9.9576295433011497E-3</v>
      </c>
      <c r="G39" s="2">
        <v>-8.5951471708882732E-3</v>
      </c>
      <c r="H39" s="2">
        <v>-7.6964804431022271E-3</v>
      </c>
      <c r="I39" s="2">
        <v>-5.9198666558859525E-3</v>
      </c>
      <c r="K39" s="3" t="s">
        <v>213</v>
      </c>
      <c r="L39" s="30">
        <v>-0.89248996293571414</v>
      </c>
      <c r="M39" s="30">
        <v>-0.74366225937016484</v>
      </c>
      <c r="N39" s="30">
        <v>-0.59483473886056037</v>
      </c>
      <c r="O39" s="30">
        <v>-0.44600724234642442</v>
      </c>
      <c r="P39" s="30">
        <v>-0.29718064943990369</v>
      </c>
      <c r="Q39" s="30">
        <v>-0.14835136535706817</v>
      </c>
      <c r="R39" s="52">
        <v>-1.3310909567360798E-2</v>
      </c>
      <c r="S39" s="30">
        <v>0.14930322223854167</v>
      </c>
      <c r="T39" s="30">
        <v>0.29813034377579128</v>
      </c>
      <c r="U39" s="30">
        <v>0.44695839739782534</v>
      </c>
      <c r="V39" s="30">
        <v>0.59578605808101182</v>
      </c>
      <c r="W39" s="30">
        <v>0.74461347418724466</v>
      </c>
      <c r="X39" s="30">
        <v>0.89344123874500725</v>
      </c>
      <c r="Y39" s="30">
        <v>1.0422678503154572</v>
      </c>
      <c r="Z39" s="30">
        <v>1.1910951525970264</v>
      </c>
    </row>
    <row r="40" spans="1:26">
      <c r="A40" s="16">
        <v>41000</v>
      </c>
      <c r="B40" s="2">
        <v>-2.103574388597651E-3</v>
      </c>
      <c r="C40" s="2">
        <v>-2.4950796274070708E-2</v>
      </c>
      <c r="D40" s="2">
        <v>-2.2393664993860418E-2</v>
      </c>
      <c r="E40" s="2">
        <v>-3.2135727914846535E-2</v>
      </c>
      <c r="F40" s="2">
        <v>1.6918670085581677E-2</v>
      </c>
      <c r="G40" s="2">
        <v>1.5044591956592912E-2</v>
      </c>
      <c r="H40" s="2">
        <v>1.0879902948320863E-2</v>
      </c>
      <c r="I40" s="2">
        <v>4.1356090791535571E-3</v>
      </c>
      <c r="K40" s="3" t="s">
        <v>275</v>
      </c>
      <c r="L40" s="30">
        <v>-1.6054950415516498E-2</v>
      </c>
      <c r="M40" s="30">
        <v>-1.1290980153737499E-2</v>
      </c>
      <c r="N40" s="30">
        <v>-6.5265527587566466E-3</v>
      </c>
      <c r="O40" s="30">
        <v>-1.7621087314829348E-3</v>
      </c>
      <c r="P40" s="30">
        <v>3.002364620114635E-3</v>
      </c>
      <c r="Q40" s="30">
        <v>7.7670100809304329E-3</v>
      </c>
      <c r="R40" s="52">
        <v>1.2241863224983185E-2</v>
      </c>
      <c r="S40" s="30">
        <v>1.729572796186522E-2</v>
      </c>
      <c r="T40" s="30">
        <v>2.2060113693703427E-2</v>
      </c>
      <c r="U40" s="30">
        <v>2.6824581369539895E-2</v>
      </c>
      <c r="V40" s="30">
        <v>3.1589053290114452E-2</v>
      </c>
      <c r="W40" s="30">
        <v>3.6353527497388412E-2</v>
      </c>
      <c r="X40" s="30">
        <v>4.1118008161959513E-2</v>
      </c>
      <c r="Y40" s="30">
        <v>4.5882504463551729E-2</v>
      </c>
      <c r="Z40" s="30">
        <v>5.0647098634275543E-2</v>
      </c>
    </row>
    <row r="41" spans="1:26">
      <c r="A41" s="16">
        <v>41030</v>
      </c>
      <c r="B41" s="2">
        <v>-6.2255982197199522E-2</v>
      </c>
      <c r="C41" s="2">
        <v>-0.11971546865873373</v>
      </c>
      <c r="D41" s="2">
        <v>-9.5476627828976146E-2</v>
      </c>
      <c r="E41" s="2">
        <v>-1.7293060117432812E-2</v>
      </c>
      <c r="F41" s="2">
        <v>1.1740689725421527E-2</v>
      </c>
      <c r="G41" s="2">
        <v>1.8631642492865197E-2</v>
      </c>
      <c r="H41" s="2">
        <v>-2.9189059340903101E-2</v>
      </c>
      <c r="I41" s="2">
        <v>-4.201008460469613E-2</v>
      </c>
      <c r="K41" s="3" t="s">
        <v>261</v>
      </c>
      <c r="L41" s="30">
        <v>0.61704312642260595</v>
      </c>
      <c r="M41" s="30">
        <v>0.49368715178512196</v>
      </c>
      <c r="N41" s="30">
        <v>0.37033181421731709</v>
      </c>
      <c r="O41" s="30">
        <v>0.24697591864938462</v>
      </c>
      <c r="P41" s="30">
        <v>0.12361973729987459</v>
      </c>
      <c r="Q41" s="30">
        <v>2.6348367999561332E-4</v>
      </c>
      <c r="R41" s="52">
        <v>-0.12544583292657832</v>
      </c>
      <c r="S41" s="30">
        <v>-0.2464484857773559</v>
      </c>
      <c r="T41" s="30">
        <v>-0.36980426299047758</v>
      </c>
      <c r="U41" s="30">
        <v>-0.49315970954465688</v>
      </c>
      <c r="V41" s="30">
        <v>-0.61651577786112655</v>
      </c>
      <c r="W41" s="30">
        <v>-0.73987141370019527</v>
      </c>
      <c r="X41" s="30">
        <v>-0.86322790715600306</v>
      </c>
      <c r="Y41" s="30">
        <v>-0.98658463111820238</v>
      </c>
      <c r="Z41" s="30">
        <v>-1.1099395788635378</v>
      </c>
    </row>
    <row r="42" spans="1:26">
      <c r="A42" s="16">
        <v>41061</v>
      </c>
      <c r="B42" s="2">
        <v>3.519976190294738E-2</v>
      </c>
      <c r="C42" s="2">
        <v>8.2659855883117084E-2</v>
      </c>
      <c r="D42" s="2">
        <v>6.6609929445238691E-2</v>
      </c>
      <c r="E42" s="2">
        <v>-0.12576257920606704</v>
      </c>
      <c r="F42" s="2">
        <v>-1.252266945838576E-3</v>
      </c>
      <c r="G42" s="2">
        <v>-9.7392130642514063E-3</v>
      </c>
      <c r="H42" s="2">
        <v>9.8917467517132263E-3</v>
      </c>
      <c r="I42" s="2">
        <v>1.2553728174418577E-2</v>
      </c>
      <c r="R42" s="53"/>
    </row>
    <row r="43" spans="1:26">
      <c r="A43" s="16">
        <v>41091</v>
      </c>
      <c r="B43" s="2">
        <v>1.3868753258265976E-2</v>
      </c>
      <c r="C43" s="2">
        <v>3.2682157484895669E-3</v>
      </c>
      <c r="D43" s="2">
        <v>-8.9783235382739912E-3</v>
      </c>
      <c r="E43" s="2">
        <v>6.9780009113258545E-2</v>
      </c>
      <c r="F43" s="2">
        <v>8.0749775798416579E-3</v>
      </c>
      <c r="G43" s="2">
        <v>2.1305034523576571E-2</v>
      </c>
      <c r="H43" s="2">
        <v>1.3314738957185268E-2</v>
      </c>
      <c r="I43" s="2">
        <v>2.3437502235864605E-2</v>
      </c>
      <c r="K43" s="15" t="s">
        <v>282</v>
      </c>
      <c r="L43" s="3"/>
      <c r="M43" s="3"/>
      <c r="N43" s="3"/>
      <c r="O43" s="3"/>
      <c r="P43" s="3"/>
      <c r="Q43" s="3"/>
      <c r="R43" s="51"/>
      <c r="S43" s="3"/>
      <c r="T43" s="3"/>
      <c r="U43" s="3"/>
      <c r="V43" s="3"/>
      <c r="W43" s="3"/>
      <c r="X43" s="3"/>
      <c r="Y43" s="3"/>
      <c r="Z43" s="3"/>
    </row>
    <row r="44" spans="1:26">
      <c r="A44" s="16">
        <v>41122</v>
      </c>
      <c r="B44" s="2">
        <v>2.7023455194995938E-2</v>
      </c>
      <c r="C44" s="2">
        <v>4.6776853743696112E-2</v>
      </c>
      <c r="D44" s="2">
        <v>1.107331319249294E-2</v>
      </c>
      <c r="E44" s="2">
        <v>1.4550877708206844E-2</v>
      </c>
      <c r="F44" s="2">
        <v>7.5135954661664783E-4</v>
      </c>
      <c r="G44" s="2">
        <v>4.888706014001265E-4</v>
      </c>
      <c r="H44" s="2">
        <v>1.2327210396159582E-2</v>
      </c>
      <c r="I44" s="2">
        <v>9.2932055239267619E-3</v>
      </c>
      <c r="K44" s="3" t="s">
        <v>283</v>
      </c>
      <c r="L44" s="49" cm="1">
        <f t="array" ref="L44">MMULT(TRANSPOSE(L34:L41),MMULT($Q$15:$X$22,L34:L41))</f>
        <v>2.7583235796906612E-4</v>
      </c>
      <c r="M44" s="49">
        <f t="array" ref="M44">MMULT(TRANSPOSE(M34:M41),MMULT($Q$15:$X$22,M34:M41))</f>
        <v>2.0665062240395995E-4</v>
      </c>
      <c r="N44" s="49">
        <f t="array" ref="N44">MMULT(TRANSPOSE(N34:N41),MMULT($Q$15:$X$22,N34:N41))</f>
        <v>1.5166084209837575E-4</v>
      </c>
      <c r="O44" s="49">
        <f t="array" ref="O44">MMULT(TRANSPOSE(O34:O41),MMULT($Q$15:$X$22,O34:O41))</f>
        <v>1.1086303745502579E-4</v>
      </c>
      <c r="P44" s="49">
        <f t="array" ref="P44">MMULT(TRANSPOSE(P34:P41),MMULT($Q$15:$X$22,P34:P41))</f>
        <v>8.4257208447109687E-5</v>
      </c>
      <c r="Q44" s="49">
        <f t="array" ref="Q44">MMULT(TRANSPOSE(Q34:Q41),MMULT($Q$15:$X$22,Q34:Q41))</f>
        <v>7.1843355173704693E-5</v>
      </c>
      <c r="R44" s="49">
        <f t="array" ref="R44">MMULT(TRANSPOSE(R34:R41),MMULT($Q$15:$X$22,R34:R41))</f>
        <v>7.3496427851599069E-5</v>
      </c>
      <c r="S44" s="49">
        <f t="array" ref="S44">MMULT(TRANSPOSE(S34:S41),MMULT($Q$15:$X$22,S34:S41))</f>
        <v>8.9591576040905639E-5</v>
      </c>
      <c r="T44" s="49">
        <f t="array" ref="T44">MMULT(TRANSPOSE(T34:T41),MMULT($Q$15:$X$22,T34:T41))</f>
        <v>1.1975365088420823E-4</v>
      </c>
      <c r="U44" s="49">
        <f t="array" ref="U44">MMULT(TRANSPOSE(U34:U41),MMULT($Q$15:$X$22,U34:U41))</f>
        <v>1.6410770310926209E-4</v>
      </c>
      <c r="V44" s="49">
        <f t="array" ref="V44">MMULT(TRANSPOSE(V34:V41),MMULT($Q$15:$X$22,V34:V41))</f>
        <v>2.2265372821821708E-4</v>
      </c>
      <c r="W44" s="49">
        <f t="array" ref="W44">MMULT(TRANSPOSE(W34:W41),MMULT($Q$15:$X$22,W34:W41))</f>
        <v>2.9539173205424832E-4</v>
      </c>
      <c r="X44" s="49">
        <f t="array" ref="X44">MMULT(TRANSPOSE(X34:X41),MMULT($Q$15:$X$22,X34:X41))</f>
        <v>3.8232171054107913E-4</v>
      </c>
      <c r="Y44" s="49">
        <f t="array" ref="Y44">MMULT(TRANSPOSE(Y34:Y41),MMULT($Q$15:$X$22,Y34:Y41))</f>
        <v>4.8344366026388985E-4</v>
      </c>
      <c r="Z44" s="49">
        <f t="array" ref="Z44">MMULT(TRANSPOSE(Z34:Z41),MMULT($Q$15:$X$22,Z34:Z41))</f>
        <v>5.9875759150977009E-4</v>
      </c>
    </row>
    <row r="45" spans="1:26">
      <c r="A45" s="16">
        <v>41153</v>
      </c>
      <c r="B45" s="2">
        <v>1.9941998801130456E-2</v>
      </c>
      <c r="C45" s="2">
        <v>6.2248779546361099E-3</v>
      </c>
      <c r="D45" s="2">
        <v>2.787469245086438E-3</v>
      </c>
      <c r="E45" s="2">
        <v>-7.1710436985915615E-3</v>
      </c>
      <c r="F45" s="2">
        <v>-2.3796034841949698E-4</v>
      </c>
      <c r="G45" s="2">
        <v>5.1175712942708174E-3</v>
      </c>
      <c r="H45" s="2">
        <v>2.0393963023725981E-2</v>
      </c>
      <c r="I45" s="2">
        <v>2.2510525778747681E-2</v>
      </c>
      <c r="K45" s="3" t="s">
        <v>285</v>
      </c>
      <c r="L45" s="49">
        <f>SQRT(L44)</f>
        <v>1.6608201527229433E-2</v>
      </c>
      <c r="M45" s="49">
        <f t="shared" ref="M45:Z45" si="1">SQRT(M44)</f>
        <v>1.4375347731584094E-2</v>
      </c>
      <c r="N45" s="49">
        <f t="shared" si="1"/>
        <v>1.2315065655463463E-2</v>
      </c>
      <c r="O45" s="49">
        <f t="shared" si="1"/>
        <v>1.0529151791812377E-2</v>
      </c>
      <c r="P45" s="49">
        <f t="shared" si="1"/>
        <v>9.1791725360791474E-3</v>
      </c>
      <c r="Q45" s="49">
        <f t="shared" si="1"/>
        <v>8.4760459634020801E-3</v>
      </c>
      <c r="R45" s="54">
        <f>SQRT(R44)</f>
        <v>8.5730057652843705E-3</v>
      </c>
      <c r="S45" s="49">
        <f t="shared" si="1"/>
        <v>9.4652826709457349E-3</v>
      </c>
      <c r="T45" s="49">
        <f t="shared" si="1"/>
        <v>1.0943201126005508E-2</v>
      </c>
      <c r="U45" s="49">
        <f t="shared" si="1"/>
        <v>1.2810452884627541E-2</v>
      </c>
      <c r="V45" s="49">
        <f t="shared" si="1"/>
        <v>1.4921585981999939E-2</v>
      </c>
      <c r="W45" s="49">
        <f t="shared" si="1"/>
        <v>1.7186964015039084E-2</v>
      </c>
      <c r="X45" s="49">
        <f t="shared" si="1"/>
        <v>1.9553048625242028E-2</v>
      </c>
      <c r="Y45" s="49">
        <f t="shared" si="1"/>
        <v>2.1987352279524013E-2</v>
      </c>
      <c r="Z45" s="49">
        <f t="shared" si="1"/>
        <v>2.446952372870731E-2</v>
      </c>
    </row>
    <row r="46" spans="1:26">
      <c r="A46" s="16">
        <v>41183</v>
      </c>
      <c r="B46" s="2">
        <v>-1.3271976473097968E-2</v>
      </c>
      <c r="C46" s="2">
        <v>4.1051295618851791E-2</v>
      </c>
      <c r="D46" s="2">
        <v>1.8045390028933239E-2</v>
      </c>
      <c r="E46" s="2">
        <v>4.8069736086189918E-2</v>
      </c>
      <c r="F46" s="2">
        <v>-2.4242619124379416E-3</v>
      </c>
      <c r="G46" s="2">
        <v>6.2421485761081641E-3</v>
      </c>
      <c r="H46" s="2">
        <v>-4.8126412468849633E-3</v>
      </c>
      <c r="I46" s="2">
        <v>3.7265648996500644E-3</v>
      </c>
      <c r="K46" s="3" t="s">
        <v>284</v>
      </c>
      <c r="L46" s="9">
        <f>SUMPRODUCT($L$15:$L$22,L34:L41)</f>
        <v>8.3246515331117973E-4</v>
      </c>
      <c r="M46" s="9">
        <f>SUMPRODUCT($L$15:$L$22,M34:M41)</f>
        <v>1.3607741182406097E-3</v>
      </c>
      <c r="N46" s="9">
        <f>SUMPRODUCT($L$15:$L$22,N34:N41)</f>
        <v>1.8890828793246509E-3</v>
      </c>
      <c r="O46" s="9">
        <f t="shared" ref="O46:Y46" si="2">SUMPRODUCT($L$15:$L$22,O34:O41)</f>
        <v>2.4173918427510392E-3</v>
      </c>
      <c r="P46" s="9">
        <f t="shared" si="2"/>
        <v>2.945701007311174E-3</v>
      </c>
      <c r="Q46" s="9">
        <f>SUMPRODUCT($L$15:$L$22,Q34:Q41)</f>
        <v>3.4740098393760436E-3</v>
      </c>
      <c r="R46" s="55">
        <f t="shared" si="2"/>
        <v>3.9962830169673154E-3</v>
      </c>
      <c r="S46" s="9">
        <f t="shared" si="2"/>
        <v>4.5306279177086796E-3</v>
      </c>
      <c r="T46" s="9">
        <f t="shared" si="2"/>
        <v>5.0589369143851258E-3</v>
      </c>
      <c r="U46" s="9">
        <f t="shared" si="2"/>
        <v>5.5872456480992238E-3</v>
      </c>
      <c r="V46" s="9">
        <f t="shared" si="2"/>
        <v>6.1155546311499514E-3</v>
      </c>
      <c r="W46" s="9">
        <f t="shared" si="2"/>
        <v>6.6438635217211158E-3</v>
      </c>
      <c r="X46" s="9">
        <f t="shared" si="2"/>
        <v>7.1721726526999315E-3</v>
      </c>
      <c r="Y46" s="9">
        <f t="shared" si="2"/>
        <v>7.7004820022288367E-3</v>
      </c>
      <c r="Z46" s="9">
        <f>SUMPRODUCT($L$15:$L$22,Z34:Z41)</f>
        <v>8.2287906324297819E-3</v>
      </c>
    </row>
    <row r="47" spans="1:26">
      <c r="A47" s="16">
        <v>41214</v>
      </c>
      <c r="B47" s="2">
        <v>7.7431838992574331E-3</v>
      </c>
      <c r="C47" s="2">
        <v>2.4750234022826723E-2</v>
      </c>
      <c r="D47" s="2">
        <v>2.5732221759183993E-2</v>
      </c>
      <c r="E47" s="2">
        <v>-6.1787544591846988E-3</v>
      </c>
      <c r="F47" s="2">
        <v>4.0748899677320871E-3</v>
      </c>
      <c r="G47" s="2">
        <v>3.1832233496398299E-3</v>
      </c>
      <c r="H47" s="2">
        <v>1.4300893980274676E-3</v>
      </c>
      <c r="I47" s="2">
        <v>1.9934021507385102E-2</v>
      </c>
    </row>
    <row r="48" spans="1:26">
      <c r="A48" s="16">
        <v>41244</v>
      </c>
      <c r="B48" s="2">
        <v>5.4885706677969548E-3</v>
      </c>
      <c r="C48" s="2">
        <v>3.4746183207668757E-2</v>
      </c>
      <c r="D48" s="2">
        <v>3.0297338174689159E-2</v>
      </c>
      <c r="E48" s="2">
        <v>1.2195169775227166E-2</v>
      </c>
      <c r="F48" s="2">
        <v>-1.4549921781441211E-2</v>
      </c>
      <c r="G48" s="2">
        <v>-9.8444207915692195E-3</v>
      </c>
      <c r="H48" s="2">
        <v>-3.7557042286696651E-3</v>
      </c>
      <c r="I48" s="2">
        <v>6.17582147666762E-3</v>
      </c>
    </row>
    <row r="49" spans="1:9">
      <c r="A49" s="16">
        <v>41275</v>
      </c>
      <c r="B49" s="2">
        <v>6.1975732355521007E-2</v>
      </c>
      <c r="C49" s="2">
        <v>5.1170054327975834E-2</v>
      </c>
      <c r="D49" s="2">
        <v>4.993124078740796E-2</v>
      </c>
      <c r="E49" s="2">
        <v>6.6146913954787889E-2</v>
      </c>
      <c r="F49" s="2">
        <v>5.1044453513544585E-3</v>
      </c>
      <c r="G49" s="2">
        <v>-1.1740585494119937E-3</v>
      </c>
      <c r="H49" s="2">
        <v>-4.1291562383316549E-3</v>
      </c>
      <c r="I49" s="2">
        <v>1.4658230597579758E-2</v>
      </c>
    </row>
    <row r="50" spans="1:9">
      <c r="A50" s="16">
        <v>41306</v>
      </c>
      <c r="B50" s="2">
        <v>1.2815822236884822E-2</v>
      </c>
      <c r="C50" s="2">
        <v>-3.3968354856082073E-2</v>
      </c>
      <c r="D50" s="2">
        <v>2.0163616972633802E-2</v>
      </c>
      <c r="E50" s="2">
        <v>-7.0906269202165584E-3</v>
      </c>
      <c r="F50" s="2">
        <v>6.6378122208123891E-3</v>
      </c>
      <c r="G50" s="2">
        <v>1.9043152721027745E-3</v>
      </c>
      <c r="H50" s="2">
        <v>-2.5976571358398592E-2</v>
      </c>
      <c r="I50" s="2">
        <v>-2.2827439170763464E-2</v>
      </c>
    </row>
    <row r="51" spans="1:9">
      <c r="A51" s="16">
        <v>41334</v>
      </c>
      <c r="B51" s="2">
        <v>3.4764712944106435E-2</v>
      </c>
      <c r="C51" s="2">
        <v>-1.4226086388550163E-3</v>
      </c>
      <c r="D51" s="2">
        <v>3.3297687544127985E-2</v>
      </c>
      <c r="E51" s="2">
        <v>-3.1912518814717239E-2</v>
      </c>
      <c r="F51" s="2">
        <v>1.837776435472227E-3</v>
      </c>
      <c r="G51" s="2">
        <v>2.148313115837075E-3</v>
      </c>
      <c r="H51" s="2">
        <v>-4.6376000719985377E-3</v>
      </c>
      <c r="I51" s="2">
        <v>3.2212643013251885E-4</v>
      </c>
    </row>
    <row r="52" spans="1:9">
      <c r="A52" s="16">
        <v>41365</v>
      </c>
      <c r="B52" s="2">
        <v>2.0692007660212619E-2</v>
      </c>
      <c r="C52" s="2">
        <v>5.0438444725297904E-2</v>
      </c>
      <c r="D52" s="2">
        <v>5.6723687545309653E-2</v>
      </c>
      <c r="E52" s="2">
        <v>-1.1526048604747596E-2</v>
      </c>
      <c r="F52" s="2">
        <v>7.7122582736797174E-3</v>
      </c>
      <c r="G52" s="2">
        <v>7.2569127783190801E-3</v>
      </c>
      <c r="H52" s="2">
        <v>2.8541313442850047E-2</v>
      </c>
      <c r="I52" s="2">
        <v>2.9607086651480818E-2</v>
      </c>
    </row>
    <row r="53" spans="1:9">
      <c r="A53" s="16">
        <v>41395</v>
      </c>
      <c r="B53" s="2">
        <v>2.4435159952520547E-2</v>
      </c>
      <c r="C53" s="2">
        <v>1.9467689612162609E-4</v>
      </c>
      <c r="D53" s="2">
        <v>-7.6986107868803333E-2</v>
      </c>
      <c r="E53" s="2">
        <v>1.912313388238962E-2</v>
      </c>
      <c r="F53" s="2">
        <v>-1.750131492455631E-2</v>
      </c>
      <c r="G53" s="2">
        <v>-4.3741091388487918E-2</v>
      </c>
      <c r="H53" s="2">
        <v>-4.3021665917441276E-2</v>
      </c>
      <c r="I53" s="2">
        <v>-5.2523986570081949E-2</v>
      </c>
    </row>
    <row r="54" spans="1:9">
      <c r="A54" s="16">
        <v>41426</v>
      </c>
      <c r="B54" s="2">
        <v>-1.898667260299991E-2</v>
      </c>
      <c r="C54" s="2">
        <v>-6.3072019623649833E-2</v>
      </c>
      <c r="D54" s="2">
        <v>-1.1333349032332629E-2</v>
      </c>
      <c r="E54" s="2">
        <v>-4.530892344830828E-2</v>
      </c>
      <c r="F54" s="2">
        <v>-1.493653132183459E-2</v>
      </c>
      <c r="G54" s="2">
        <v>-3.7985688164332787E-2</v>
      </c>
      <c r="H54" s="2">
        <v>-1.7888338333076792E-2</v>
      </c>
      <c r="I54" s="2">
        <v>-4.5382157456741568E-2</v>
      </c>
    </row>
    <row r="55" spans="1:9">
      <c r="A55" s="16">
        <v>41456</v>
      </c>
      <c r="B55" s="2">
        <v>6.2436316807471304E-2</v>
      </c>
      <c r="C55" s="2">
        <v>9.7557041151923096E-2</v>
      </c>
      <c r="D55" s="2">
        <v>2.6235140310235661E-2</v>
      </c>
      <c r="E55" s="2">
        <v>-6.5196570824626821E-2</v>
      </c>
      <c r="F55" s="2">
        <v>6.5905913424124662E-4</v>
      </c>
      <c r="G55" s="2">
        <v>1.0213481658822632E-2</v>
      </c>
      <c r="H55" s="2">
        <v>2.4048016347497647E-2</v>
      </c>
      <c r="I55" s="2">
        <v>2.0395038992226944E-2</v>
      </c>
    </row>
    <row r="56" spans="1:9">
      <c r="A56" s="16">
        <v>41487</v>
      </c>
      <c r="B56" s="2">
        <v>-3.0313150255606658E-2</v>
      </c>
      <c r="C56" s="2">
        <v>-1.4671787766292965E-2</v>
      </c>
      <c r="D56" s="2">
        <v>-1.4770590749485502E-2</v>
      </c>
      <c r="E56" s="2">
        <v>1.2820512820512775E-2</v>
      </c>
      <c r="F56" s="2">
        <v>-8.0656087501619345E-3</v>
      </c>
      <c r="G56" s="2">
        <v>-1.7564306199632673E-2</v>
      </c>
      <c r="H56" s="2">
        <v>-1.0827626855544392E-2</v>
      </c>
      <c r="I56" s="2">
        <v>-1.815073630238162E-2</v>
      </c>
    </row>
    <row r="57" spans="1:9">
      <c r="A57" s="16">
        <v>41518</v>
      </c>
      <c r="B57" s="2">
        <v>3.3974054939446718E-2</v>
      </c>
      <c r="C57" s="2">
        <v>6.7790031426770536E-2</v>
      </c>
      <c r="D57" s="2">
        <v>8.4062221034232776E-2</v>
      </c>
      <c r="E57" s="2">
        <v>-3.2658253164556839E-2</v>
      </c>
      <c r="F57" s="2">
        <v>1.2697728209511983E-2</v>
      </c>
      <c r="G57" s="2">
        <v>1.7245972694413858E-2</v>
      </c>
      <c r="H57" s="2">
        <v>2.7397548865269794E-2</v>
      </c>
      <c r="I57" s="2">
        <v>3.923966227743092E-2</v>
      </c>
    </row>
    <row r="58" spans="1:9">
      <c r="A58" s="16">
        <v>41548</v>
      </c>
      <c r="B58" s="2">
        <v>4.7708732530673315E-2</v>
      </c>
      <c r="C58" s="2">
        <v>4.5704197859183004E-2</v>
      </c>
      <c r="D58" s="2">
        <v>1.928399294837857E-2</v>
      </c>
      <c r="E58" s="2">
        <v>5.7314919060845737E-2</v>
      </c>
      <c r="F58" s="2">
        <v>5.9066083828984706E-3</v>
      </c>
      <c r="G58" s="2">
        <v>3.9541039555763824E-3</v>
      </c>
      <c r="H58" s="2">
        <v>1.1778988636717669E-2</v>
      </c>
      <c r="I58" s="2">
        <v>1.376064951492717E-2</v>
      </c>
    </row>
    <row r="59" spans="1:9">
      <c r="A59" s="16">
        <v>41579</v>
      </c>
      <c r="B59" s="2">
        <v>2.7026957348031733E-2</v>
      </c>
      <c r="C59" s="2">
        <v>1.0215117965164833E-2</v>
      </c>
      <c r="D59" s="2">
        <v>3.2413556229027307E-4</v>
      </c>
      <c r="E59" s="2">
        <v>3.7623661503779049E-2</v>
      </c>
      <c r="F59" s="2">
        <v>-2.0185503471885635E-3</v>
      </c>
      <c r="G59" s="2">
        <v>-1.1188202420577165E-2</v>
      </c>
      <c r="H59" s="2">
        <v>-1.3533484921147254E-2</v>
      </c>
      <c r="I59" s="2">
        <v>-1.7278395922457612E-2</v>
      </c>
    </row>
    <row r="60" spans="1:9">
      <c r="A60" s="16">
        <v>41609</v>
      </c>
      <c r="B60" s="2">
        <v>2.1947707537205208E-2</v>
      </c>
      <c r="C60" s="2">
        <v>2.5104566185963906E-2</v>
      </c>
      <c r="D60" s="2">
        <v>-6.9659620969914071E-3</v>
      </c>
      <c r="E60" s="2">
        <v>-1.2881608439007985E-2</v>
      </c>
      <c r="F60" s="2">
        <v>-1.7352852821013065E-2</v>
      </c>
      <c r="G60" s="2">
        <v>-1.4291178454237108E-2</v>
      </c>
      <c r="H60" s="2">
        <v>-3.8617821839739275E-3</v>
      </c>
      <c r="I60" s="2">
        <v>-9.525352157203848E-3</v>
      </c>
    </row>
    <row r="61" spans="1:9">
      <c r="A61" s="16">
        <v>41640</v>
      </c>
      <c r="B61" s="2">
        <v>-2.6588473764469489E-2</v>
      </c>
      <c r="C61" s="2">
        <v>-4.1750908209916116E-2</v>
      </c>
      <c r="D61" s="2">
        <v>-5.5823312221105148E-2</v>
      </c>
      <c r="E61" s="2">
        <v>-2.1024721579876116E-2</v>
      </c>
      <c r="F61" s="2">
        <v>2.1335911062099422E-2</v>
      </c>
      <c r="G61" s="2">
        <v>2.1842933270204368E-2</v>
      </c>
      <c r="H61" s="2">
        <v>8.136995025585847E-3</v>
      </c>
      <c r="I61" s="2">
        <v>-5.593805175352351E-3</v>
      </c>
    </row>
    <row r="62" spans="1:9">
      <c r="A62" s="16">
        <v>41671</v>
      </c>
      <c r="B62" s="2">
        <v>4.8664982353485708E-2</v>
      </c>
      <c r="C62" s="2">
        <v>7.3427522676802859E-2</v>
      </c>
      <c r="D62" s="2">
        <v>4.0266216602120375E-2</v>
      </c>
      <c r="E62" s="2">
        <v>-7.430259562096253E-2</v>
      </c>
      <c r="F62" s="2">
        <v>1.7270119573093989E-3</v>
      </c>
      <c r="G62" s="2">
        <v>4.3667829483382548E-3</v>
      </c>
      <c r="H62" s="2">
        <v>2.2068745478819762E-2</v>
      </c>
      <c r="I62" s="2">
        <v>2.8759624221764923E-2</v>
      </c>
    </row>
    <row r="63" spans="1:9">
      <c r="A63" s="16">
        <v>41699</v>
      </c>
      <c r="B63" s="2">
        <v>7.1865583650776443E-4</v>
      </c>
      <c r="C63" s="2">
        <v>-2.125207995520062E-2</v>
      </c>
      <c r="D63" s="2">
        <v>-5.7219919443696199E-3</v>
      </c>
      <c r="E63" s="2">
        <v>1.8399973333333319E-2</v>
      </c>
      <c r="F63" s="2">
        <v>-6.9166857729993092E-3</v>
      </c>
      <c r="G63" s="2">
        <v>-5.3235293138825801E-3</v>
      </c>
      <c r="H63" s="2">
        <v>1.9461435981202868E-3</v>
      </c>
      <c r="I63" s="2">
        <v>1.1956815184713365E-2</v>
      </c>
    </row>
    <row r="64" spans="1:9">
      <c r="A64" s="16">
        <v>41730</v>
      </c>
      <c r="B64" s="2">
        <v>4.9902498128380213E-3</v>
      </c>
      <c r="C64" s="2">
        <v>4.2155329565736199E-2</v>
      </c>
      <c r="D64" s="2">
        <v>1.33423503503316E-3</v>
      </c>
      <c r="E64" s="2">
        <v>7.2793979387116625E-2</v>
      </c>
      <c r="F64" s="2">
        <v>5.8578237662305632E-3</v>
      </c>
      <c r="G64" s="2">
        <v>1.3202021903619299E-2</v>
      </c>
      <c r="H64" s="2">
        <v>9.8515165361414692E-3</v>
      </c>
      <c r="I64" s="2">
        <v>2.05131859811305E-2</v>
      </c>
    </row>
    <row r="65" spans="1:11">
      <c r="A65" s="16">
        <v>41760</v>
      </c>
      <c r="B65" s="2">
        <v>2.1019035509024953E-2</v>
      </c>
      <c r="C65" s="2">
        <v>7.7672051089348049E-3</v>
      </c>
      <c r="D65" s="2">
        <v>3.2181409150033646E-2</v>
      </c>
      <c r="E65" s="2">
        <v>-2.9290455716611818E-3</v>
      </c>
      <c r="F65" s="2">
        <v>1.0221893926871006E-2</v>
      </c>
      <c r="G65" s="2">
        <v>1.7697037178801223E-2</v>
      </c>
      <c r="H65" s="2">
        <v>2.1550160119725437E-3</v>
      </c>
      <c r="I65" s="2">
        <v>6.204806811221486E-3</v>
      </c>
    </row>
    <row r="66" spans="1:11">
      <c r="A66" s="16">
        <v>41791</v>
      </c>
      <c r="B66" s="2">
        <v>2.1992321635981638E-2</v>
      </c>
      <c r="C66" s="2">
        <v>-1.6890677781932539E-2</v>
      </c>
      <c r="D66" s="2">
        <v>2.1332376984006585E-2</v>
      </c>
      <c r="E66" s="2">
        <v>3.7943796227358551E-2</v>
      </c>
      <c r="F66" s="2">
        <v>-1.3769608523821475E-3</v>
      </c>
      <c r="G66" s="2">
        <v>2.8235398745901641E-4</v>
      </c>
      <c r="H66" s="2">
        <v>1.5972570590818469E-2</v>
      </c>
      <c r="I66" s="2">
        <v>1.1150217711011878E-2</v>
      </c>
    </row>
    <row r="67" spans="1:11">
      <c r="A67" s="16">
        <v>41821</v>
      </c>
      <c r="B67" s="2">
        <v>-1.5900307396822466E-2</v>
      </c>
      <c r="C67" s="2">
        <v>-2.762674882921401E-2</v>
      </c>
      <c r="D67" s="2">
        <v>1.6839663465229693E-2</v>
      </c>
      <c r="E67" s="2">
        <v>2.2641484781061871E-2</v>
      </c>
      <c r="F67" s="2">
        <v>-4.994118410421966E-3</v>
      </c>
      <c r="G67" s="2">
        <v>1.7757597791694391E-3</v>
      </c>
      <c r="H67" s="2">
        <v>-1.404290859263202E-2</v>
      </c>
      <c r="I67" s="2">
        <v>3.9175704781364562E-3</v>
      </c>
    </row>
    <row r="68" spans="1:11">
      <c r="A68" s="16">
        <v>41852</v>
      </c>
      <c r="B68" s="2">
        <v>4.1507808252890577E-2</v>
      </c>
      <c r="C68" s="2">
        <v>7.321951311245023E-3</v>
      </c>
      <c r="D68" s="2">
        <v>-4.4578762481072287E-3</v>
      </c>
      <c r="E68" s="2">
        <v>1.1300668558563931E-2</v>
      </c>
      <c r="F68" s="2">
        <v>1.140595374328246E-2</v>
      </c>
      <c r="G68" s="2">
        <v>5.9586294337024004E-3</v>
      </c>
      <c r="H68" s="2">
        <v>3.6243735847940606E-3</v>
      </c>
      <c r="I68" s="2">
        <v>6.3032150874209325E-3</v>
      </c>
    </row>
    <row r="69" spans="1:11">
      <c r="A69" s="16">
        <v>41883</v>
      </c>
      <c r="B69" s="2">
        <v>-2.5413866728218104E-2</v>
      </c>
      <c r="C69" s="2">
        <v>-4.4305998304650207E-2</v>
      </c>
      <c r="D69" s="2">
        <v>-5.165522675050882E-2</v>
      </c>
      <c r="E69" s="2">
        <v>3.6031974277399126E-2</v>
      </c>
      <c r="F69" s="2">
        <v>-6.3461493730893048E-3</v>
      </c>
      <c r="G69" s="2">
        <v>-2.4570184667609962E-2</v>
      </c>
      <c r="H69" s="2">
        <v>-4.4470353753160441E-2</v>
      </c>
      <c r="I69" s="2">
        <v>-5.4282668863559369E-2</v>
      </c>
    </row>
    <row r="70" spans="1:11">
      <c r="A70" s="16">
        <v>41913</v>
      </c>
      <c r="B70" s="2">
        <v>3.2148278949120757E-2</v>
      </c>
      <c r="C70" s="2">
        <v>-1.4337835605508276E-2</v>
      </c>
      <c r="D70" s="2">
        <v>3.6049173268067003E-2</v>
      </c>
      <c r="E70" s="2">
        <v>-8.4965881576051006E-2</v>
      </c>
      <c r="F70" s="2">
        <v>1.065487464875936E-2</v>
      </c>
      <c r="G70" s="2">
        <v>1.0713549729945315E-2</v>
      </c>
      <c r="H70" s="2">
        <v>-2.1984749890087141E-3</v>
      </c>
      <c r="I70" s="2">
        <v>5.3193944629292833E-3</v>
      </c>
    </row>
    <row r="71" spans="1:11">
      <c r="A71" s="16">
        <v>41944</v>
      </c>
      <c r="B71" s="2">
        <v>2.4802891897200308E-2</v>
      </c>
      <c r="C71" s="2">
        <v>2.0675817711580002E-2</v>
      </c>
      <c r="D71" s="2">
        <v>-3.7794698861932652E-2</v>
      </c>
      <c r="E71" s="2">
        <v>2.2371902814529721E-2</v>
      </c>
      <c r="F71" s="2">
        <v>7.2318711681789161E-3</v>
      </c>
      <c r="G71" s="2">
        <v>1.5916787577046065E-3</v>
      </c>
      <c r="H71" s="2">
        <v>-1.2972856758307727E-2</v>
      </c>
      <c r="I71" s="2">
        <v>-4.071706093165206E-3</v>
      </c>
      <c r="K71" t="s">
        <v>321</v>
      </c>
    </row>
    <row r="72" spans="1:11">
      <c r="A72" s="16">
        <v>41974</v>
      </c>
      <c r="B72" s="2">
        <v>-5.6282946058463512E-3</v>
      </c>
      <c r="C72" s="2">
        <v>-5.208918485466385E-2</v>
      </c>
      <c r="D72" s="2">
        <v>-3.2987634593214854E-2</v>
      </c>
      <c r="E72" s="2">
        <v>-1.8588258823529324E-2</v>
      </c>
      <c r="F72" s="2">
        <v>-2.3897743033582941E-3</v>
      </c>
      <c r="G72" s="2">
        <v>-1.1036337994701051E-2</v>
      </c>
      <c r="H72" s="2">
        <v>-1.8437222680870335E-2</v>
      </c>
      <c r="I72" s="2">
        <v>-2.9400959536845739E-2</v>
      </c>
      <c r="K72" t="s">
        <v>322</v>
      </c>
    </row>
    <row r="73" spans="1:11">
      <c r="A73" s="16">
        <v>42005</v>
      </c>
      <c r="B73" s="2">
        <v>-2.2227791292344423E-2</v>
      </c>
      <c r="C73" s="2">
        <v>1.0655209961665468E-2</v>
      </c>
      <c r="D73" s="2">
        <v>-1.6389626568553695E-3</v>
      </c>
      <c r="E73" s="2">
        <v>-4.2196069100840838E-2</v>
      </c>
      <c r="F73" s="2">
        <v>2.783174928486809E-2</v>
      </c>
      <c r="G73" s="2">
        <v>3.2865863060454581E-2</v>
      </c>
      <c r="H73" s="2">
        <v>-7.5706806602390264E-3</v>
      </c>
      <c r="I73" s="2">
        <v>-8.4628420825088035E-3</v>
      </c>
      <c r="K73" t="s">
        <v>329</v>
      </c>
    </row>
    <row r="74" spans="1:11">
      <c r="A74" s="16">
        <v>42036</v>
      </c>
      <c r="B74" s="2">
        <v>5.7419889047425121E-2</v>
      </c>
      <c r="C74" s="2">
        <v>6.0933931899995741E-2</v>
      </c>
      <c r="D74" s="2">
        <v>8.6716609658614718E-2</v>
      </c>
      <c r="E74" s="2">
        <v>1.1264104849459278E-2</v>
      </c>
      <c r="F74" s="2">
        <v>-1.6492708059949845E-2</v>
      </c>
      <c r="G74" s="2">
        <v>-1.288601806748757E-2</v>
      </c>
      <c r="H74" s="2">
        <v>-1.08340148265893E-2</v>
      </c>
      <c r="I74" s="2">
        <v>-6.6002062371850467E-3</v>
      </c>
      <c r="K74" t="s">
        <v>330</v>
      </c>
    </row>
    <row r="75" spans="1:11">
      <c r="A75" s="16">
        <v>42064</v>
      </c>
      <c r="B75" s="2">
        <v>-1.6235612079327777E-2</v>
      </c>
      <c r="C75" s="2">
        <v>-2.9880190898831649E-2</v>
      </c>
      <c r="D75" s="2">
        <v>4.0964902583944252E-3</v>
      </c>
      <c r="E75" s="2">
        <v>3.2920740944517579E-2</v>
      </c>
      <c r="F75" s="2">
        <v>7.757539468158603E-3</v>
      </c>
      <c r="G75" s="2">
        <v>-4.8187468097983244E-3</v>
      </c>
      <c r="H75" s="2">
        <v>-1.3922315087395942E-2</v>
      </c>
      <c r="I75" s="2">
        <v>-2.0290763616314211E-2</v>
      </c>
      <c r="K75" t="s">
        <v>360</v>
      </c>
    </row>
    <row r="76" spans="1:11">
      <c r="A76" s="16">
        <v>42095</v>
      </c>
      <c r="B76" s="2">
        <v>1.0865691330286475E-2</v>
      </c>
      <c r="C76" s="2">
        <v>4.8330173016229994E-2</v>
      </c>
      <c r="D76" s="2">
        <v>3.6426256351151931E-2</v>
      </c>
      <c r="E76" s="2">
        <v>-1.0543949197220237E-2</v>
      </c>
      <c r="F76" s="2">
        <v>-1.383796695509143E-3</v>
      </c>
      <c r="G76" s="2">
        <v>6.7786365047495245E-3</v>
      </c>
      <c r="H76" s="2">
        <v>1.9578513028338795E-2</v>
      </c>
      <c r="I76" s="2">
        <v>4.2888292652748294E-2</v>
      </c>
      <c r="K76" t="s">
        <v>427</v>
      </c>
    </row>
    <row r="77" spans="1:11">
      <c r="A77" s="16">
        <v>42125</v>
      </c>
      <c r="B77" s="2">
        <v>1.2973788335050029E-2</v>
      </c>
      <c r="C77" s="2">
        <v>2.8308827296994465E-3</v>
      </c>
      <c r="D77" s="2">
        <v>1.0883168308547964E-2</v>
      </c>
      <c r="E77" s="2">
        <v>6.7086459988218605E-2</v>
      </c>
      <c r="F77" s="2">
        <v>-8.9378425114905458E-4</v>
      </c>
      <c r="G77" s="2">
        <v>-1.0055755723997528E-2</v>
      </c>
      <c r="H77" s="2">
        <v>-3.231212395453642E-2</v>
      </c>
      <c r="I77" s="2">
        <v>-3.2161471509908224E-2</v>
      </c>
      <c r="K77" t="s">
        <v>361</v>
      </c>
    </row>
    <row r="78" spans="1:11">
      <c r="A78" s="16">
        <v>42156</v>
      </c>
      <c r="B78" s="2">
        <v>-2.0949673407836378E-2</v>
      </c>
      <c r="C78" s="2">
        <v>-4.763590567248932E-2</v>
      </c>
      <c r="D78" s="2">
        <v>-4.7745257075624048E-2</v>
      </c>
      <c r="E78" s="2">
        <v>-3.5406286077932725E-2</v>
      </c>
      <c r="F78" s="2">
        <v>-8.2164085399369924E-3</v>
      </c>
      <c r="G78" s="2">
        <v>-1.0246555453232831E-2</v>
      </c>
      <c r="H78" s="2">
        <v>-7.4411593219201322E-3</v>
      </c>
      <c r="I78" s="2">
        <v>-2.9055467631007303E-3</v>
      </c>
      <c r="K78" t="s">
        <v>403</v>
      </c>
    </row>
    <row r="79" spans="1:11">
      <c r="A79" s="16">
        <v>42186</v>
      </c>
      <c r="B79" s="2">
        <v>2.1370005917776602E-2</v>
      </c>
      <c r="C79" s="2">
        <v>4.2748325317863545E-2</v>
      </c>
      <c r="D79" s="2">
        <v>-9.9500069231904797E-3</v>
      </c>
      <c r="E79" s="2">
        <v>-3.3647058823529363E-2</v>
      </c>
      <c r="F79" s="2">
        <v>8.7767857978073849E-3</v>
      </c>
      <c r="G79" s="2">
        <v>5.3548037863935249E-3</v>
      </c>
      <c r="H79" s="2">
        <v>-2.1147330337402126E-3</v>
      </c>
      <c r="I79" s="2">
        <v>-1.4022848853935121E-2</v>
      </c>
      <c r="K79" t="s">
        <v>375</v>
      </c>
    </row>
    <row r="80" spans="1:11">
      <c r="A80" s="16">
        <v>42217</v>
      </c>
      <c r="B80" s="2">
        <v>-6.0915299534160972E-2</v>
      </c>
      <c r="C80" s="2">
        <v>-6.3334422355940112E-2</v>
      </c>
      <c r="D80" s="2">
        <v>-6.5844236877533602E-2</v>
      </c>
      <c r="E80" s="2">
        <v>-7.6941806671536495E-2</v>
      </c>
      <c r="F80" s="2">
        <v>1.5675826469259135E-3</v>
      </c>
      <c r="G80" s="2">
        <v>-9.4985644188707585E-3</v>
      </c>
      <c r="H80" s="2">
        <v>1.0080915829011134</v>
      </c>
      <c r="I80" s="2">
        <v>-3.1954264181752623E-2</v>
      </c>
    </row>
    <row r="81" spans="1:9">
      <c r="A81" s="16">
        <v>42248</v>
      </c>
      <c r="B81" s="2">
        <v>-3.4145590907265655E-2</v>
      </c>
      <c r="C81" s="2">
        <v>-5.259112331044058E-2</v>
      </c>
      <c r="D81" s="2">
        <v>-3.533188999521053E-2</v>
      </c>
      <c r="E81" s="2">
        <v>-0.11395410182010002</v>
      </c>
      <c r="F81" s="2">
        <v>9.8019446376302888E-3</v>
      </c>
      <c r="G81" s="2">
        <v>-7.9762369808102918E-3</v>
      </c>
      <c r="H81" s="2">
        <v>-0.50047977287404133</v>
      </c>
      <c r="I81" s="2">
        <v>-7.0595458189838256E-3</v>
      </c>
    </row>
    <row r="82" spans="1:9">
      <c r="A82" s="16">
        <v>42278</v>
      </c>
      <c r="B82" s="2">
        <v>8.4604988352915189E-2</v>
      </c>
      <c r="C82" s="2">
        <v>6.3855181138589678E-2</v>
      </c>
      <c r="D82" s="2">
        <v>7.2119343421385818E-2</v>
      </c>
      <c r="E82" s="2">
        <v>-7.4426912771657916E-3</v>
      </c>
      <c r="F82" s="2">
        <v>-5.8694751718688654E-3</v>
      </c>
      <c r="G82" s="2">
        <v>5.2139610265422576E-3</v>
      </c>
      <c r="H82" s="2">
        <v>4.2248886203821723E-3</v>
      </c>
      <c r="I82" s="2">
        <v>1.1337399821913285E-2</v>
      </c>
    </row>
    <row r="83" spans="1:9">
      <c r="A83" s="16">
        <v>42309</v>
      </c>
      <c r="B83" s="2">
        <v>6.0077935134317251E-3</v>
      </c>
      <c r="C83" s="2">
        <v>-1.2480733678483458E-2</v>
      </c>
      <c r="D83" s="2">
        <v>3.4624511749536957E-4</v>
      </c>
      <c r="E83" s="2">
        <v>5.3689292141571476E-2</v>
      </c>
      <c r="F83" s="2">
        <v>-4.443905076588317E-3</v>
      </c>
      <c r="G83" s="2">
        <v>-8.8260573479526094E-4</v>
      </c>
      <c r="H83" s="2">
        <v>-2.4096087704723379E-2</v>
      </c>
      <c r="I83" s="2">
        <v>-1.558050504513997E-2</v>
      </c>
    </row>
    <row r="84" spans="1:9">
      <c r="A84" s="16">
        <v>42339</v>
      </c>
      <c r="B84" s="2">
        <v>-2.6779817134921058E-2</v>
      </c>
      <c r="C84" s="2">
        <v>-3.0138169224338984E-2</v>
      </c>
      <c r="D84" s="2">
        <v>-1.9040981439866655E-2</v>
      </c>
      <c r="E84" s="2">
        <v>-2.6757813072649794E-2</v>
      </c>
      <c r="F84" s="2">
        <v>-3.5563295054917843E-3</v>
      </c>
      <c r="G84" s="2">
        <v>-1.0108006832917571E-2</v>
      </c>
      <c r="H84" s="2">
        <v>1.1757744836461637E-2</v>
      </c>
      <c r="I84" s="2">
        <v>-2.7986819685545172E-2</v>
      </c>
    </row>
    <row r="85" spans="1:9">
      <c r="A85" s="16">
        <v>42370</v>
      </c>
      <c r="B85" s="2">
        <v>-5.1866895266442836E-2</v>
      </c>
      <c r="C85" s="2">
        <v>-5.1649909708117558E-2</v>
      </c>
      <c r="D85" s="2">
        <v>-4.9132790808189442E-2</v>
      </c>
      <c r="E85" s="2">
        <v>-6.8733520583021956E-2</v>
      </c>
      <c r="F85" s="2">
        <v>2.4965526096349944E-2</v>
      </c>
      <c r="G85" s="2">
        <v>1.5682119974801401E-2</v>
      </c>
      <c r="H85" s="2">
        <v>2.9051565316671191E-3</v>
      </c>
      <c r="I85" s="2">
        <v>1.0525300984537633E-2</v>
      </c>
    </row>
    <row r="86" spans="1:9">
      <c r="A86" s="16">
        <v>42401</v>
      </c>
      <c r="B86" s="2">
        <v>-1.0176105425518944E-4</v>
      </c>
      <c r="C86" s="2">
        <v>-3.2264893682932838E-2</v>
      </c>
      <c r="D86" s="2">
        <v>-3.5090951336356535E-2</v>
      </c>
      <c r="E86" s="2">
        <v>-4.8052795226130596E-2</v>
      </c>
      <c r="F86" s="2">
        <v>6.3805243656827049E-3</v>
      </c>
      <c r="G86" s="2">
        <v>1.2208014549239365E-2</v>
      </c>
      <c r="H86" s="2">
        <v>3.3024557452436598E-2</v>
      </c>
      <c r="I86" s="2">
        <v>3.7758866994161977E-3</v>
      </c>
    </row>
    <row r="87" spans="1:9">
      <c r="A87" s="16">
        <v>42430</v>
      </c>
      <c r="B87" s="2">
        <v>6.6110648759532431E-2</v>
      </c>
      <c r="C87" s="2">
        <v>6.4268549253439389E-2</v>
      </c>
      <c r="D87" s="2">
        <v>7.4873573550131356E-2</v>
      </c>
      <c r="E87" s="2">
        <v>3.464209946031338E-2</v>
      </c>
      <c r="F87" s="2">
        <v>2.0480822237898266E-3</v>
      </c>
      <c r="G87" s="2">
        <v>1.66727978157033E-2</v>
      </c>
      <c r="H87" s="2">
        <v>4.206389151459633E-2</v>
      </c>
      <c r="I87" s="2">
        <v>7.4638848038160788E-2</v>
      </c>
    </row>
    <row r="88" spans="1:9">
      <c r="A88" s="16">
        <v>42461</v>
      </c>
      <c r="B88" s="2">
        <v>1.1292287047526939E-2</v>
      </c>
      <c r="C88" s="2">
        <v>3.341304346278462E-2</v>
      </c>
      <c r="D88" s="2">
        <v>6.8394266062119513E-3</v>
      </c>
      <c r="E88" s="2">
        <v>8.4502452662549521E-2</v>
      </c>
      <c r="F88" s="2">
        <v>-1.5390823789011021E-3</v>
      </c>
      <c r="G88" s="2">
        <v>2.0933454995164524E-3</v>
      </c>
      <c r="H88" s="2">
        <v>1.5249363617298561E-2</v>
      </c>
      <c r="I88" s="2">
        <v>1.1421983101239874E-2</v>
      </c>
    </row>
    <row r="89" spans="1:9">
      <c r="A89" s="16">
        <v>42491</v>
      </c>
      <c r="B89" s="2">
        <v>1.7344349753256605E-2</v>
      </c>
      <c r="C89" s="2">
        <v>-5.0140738237258731E-3</v>
      </c>
      <c r="D89" s="2">
        <v>1.0624902160664362E-2</v>
      </c>
      <c r="E89" s="2">
        <v>2.6756837798108668E-2</v>
      </c>
      <c r="F89" s="2">
        <v>-1.8510748890563367E-3</v>
      </c>
      <c r="G89" s="2">
        <v>-6.4413626019533821E-3</v>
      </c>
      <c r="H89" s="2">
        <v>-2.6860054910238573E-2</v>
      </c>
      <c r="I89" s="2">
        <v>-3.0783126233979607E-2</v>
      </c>
    </row>
    <row r="90" spans="1:9">
      <c r="A90" s="16">
        <v>42522</v>
      </c>
      <c r="B90" s="2">
        <v>-1.6768737123836752E-3</v>
      </c>
      <c r="C90" s="2">
        <v>-5.9463924515071209E-2</v>
      </c>
      <c r="D90" s="2">
        <v>-6.9495314236323047E-3</v>
      </c>
      <c r="E90" s="2">
        <v>-3.522334107808367E-2</v>
      </c>
      <c r="F90" s="2">
        <v>2.0748066484715944E-2</v>
      </c>
      <c r="G90" s="2">
        <v>2.2165469923438819E-2</v>
      </c>
      <c r="H90" s="2">
        <v>3.7770242681736343E-2</v>
      </c>
      <c r="I90" s="2">
        <v>3.1948790480428979E-2</v>
      </c>
    </row>
    <row r="91" spans="1:9">
      <c r="A91" s="16">
        <v>42552</v>
      </c>
      <c r="B91" s="2">
        <v>4.4348200003155869E-2</v>
      </c>
      <c r="C91" s="2">
        <v>5.5308325430497574E-2</v>
      </c>
      <c r="D91" s="2">
        <v>6.6428070954548613E-2</v>
      </c>
      <c r="E91" s="2">
        <v>4.9866430687635299E-2</v>
      </c>
      <c r="F91" s="2">
        <v>5.3111754020274127E-4</v>
      </c>
      <c r="G91" s="2">
        <v>2.2876078261020449E-3</v>
      </c>
      <c r="H91" s="2">
        <v>1.119865734957326E-2</v>
      </c>
      <c r="I91" s="2">
        <v>8.5595143489820558E-3</v>
      </c>
    </row>
    <row r="92" spans="1:9">
      <c r="A92" s="16">
        <v>42583</v>
      </c>
      <c r="B92" s="2">
        <v>2.0641592652894669E-3</v>
      </c>
      <c r="C92" s="2">
        <v>6.8353277970176762E-3</v>
      </c>
      <c r="D92" s="2">
        <v>1.8664240395536158E-3</v>
      </c>
      <c r="E92" s="2">
        <v>4.8346142164154449E-2</v>
      </c>
      <c r="F92" s="2">
        <v>-7.2484862903552383E-3</v>
      </c>
      <c r="G92" s="2">
        <v>-2.9812551029919643E-3</v>
      </c>
      <c r="H92" s="2">
        <v>-1.1420782424823805E-2</v>
      </c>
      <c r="I92" s="2">
        <v>2.0404470161777599E-2</v>
      </c>
    </row>
    <row r="93" spans="1:9">
      <c r="A93" s="16">
        <v>42614</v>
      </c>
      <c r="B93" s="2">
        <v>-2.8662543495038273E-3</v>
      </c>
      <c r="C93" s="2">
        <v>2.4685419157450816E-3</v>
      </c>
      <c r="D93" s="2">
        <v>2.5910205325278435E-2</v>
      </c>
      <c r="E93" s="2">
        <v>7.0118119195354822E-3</v>
      </c>
      <c r="F93" s="2">
        <v>4.4114262347325628E-3</v>
      </c>
      <c r="G93" s="2">
        <v>7.8522925432844559E-3</v>
      </c>
      <c r="H93" s="2">
        <v>9.6272515382833657E-3</v>
      </c>
      <c r="I93" s="2">
        <v>7.6093402989636516E-3</v>
      </c>
    </row>
    <row r="94" spans="1:9">
      <c r="A94" s="16">
        <v>42644</v>
      </c>
      <c r="B94" s="2">
        <v>-1.7152322493260264E-2</v>
      </c>
      <c r="C94" s="2">
        <v>-3.0082799407235905E-2</v>
      </c>
      <c r="D94" s="2">
        <v>-5.6923809692589478E-3</v>
      </c>
      <c r="E94" s="2">
        <v>9.6411622924477136E-3</v>
      </c>
      <c r="F94" s="2">
        <v>-9.2620309180879712E-3</v>
      </c>
      <c r="G94" s="2">
        <v>-1.8125019284890298E-3</v>
      </c>
      <c r="H94" s="2">
        <v>-4.1955634542349296E-2</v>
      </c>
      <c r="I94" s="2">
        <v>-2.9856117006889171E-2</v>
      </c>
    </row>
    <row r="95" spans="1:9">
      <c r="A95" s="16">
        <v>42675</v>
      </c>
      <c r="B95" s="2">
        <v>4.490766605406038E-2</v>
      </c>
      <c r="C95" s="2">
        <v>-2.3399113236557412E-2</v>
      </c>
      <c r="D95" s="2">
        <v>-1.3661897460258476E-2</v>
      </c>
      <c r="E95" s="2">
        <v>5.0397346143307153E-3</v>
      </c>
      <c r="F95" s="2">
        <v>-2.5697122989865817E-2</v>
      </c>
      <c r="G95" s="2">
        <v>-2.0714309285170152E-2</v>
      </c>
      <c r="H95" s="2">
        <v>-5.7184266377251158E-2</v>
      </c>
      <c r="I95" s="2">
        <v>-5.4670464982599198E-2</v>
      </c>
    </row>
    <row r="96" spans="1:9">
      <c r="A96" s="16">
        <v>42705</v>
      </c>
      <c r="B96" s="2">
        <v>1.3534756158721128E-2</v>
      </c>
      <c r="C96" s="2">
        <v>4.4216691496118399E-2</v>
      </c>
      <c r="D96" s="2">
        <v>-1.8243270003771683E-2</v>
      </c>
      <c r="E96" s="2">
        <v>-4.6714173837798301E-2</v>
      </c>
      <c r="F96" s="2">
        <v>-4.7198619363413297E-3</v>
      </c>
      <c r="G96" s="2">
        <v>-2.5561503105546723E-3</v>
      </c>
      <c r="H96" s="2">
        <v>-2.6868549974018441E-3</v>
      </c>
      <c r="I96" s="2">
        <v>-3.8299481687102954E-3</v>
      </c>
    </row>
    <row r="97" spans="1:9">
      <c r="A97" s="16">
        <v>42736</v>
      </c>
      <c r="B97" s="2">
        <v>2.4920321656854982E-2</v>
      </c>
      <c r="C97" s="2">
        <v>3.4546664825133133E-2</v>
      </c>
      <c r="D97" s="2">
        <v>6.265924093837083E-2</v>
      </c>
      <c r="E97" s="2">
        <v>1.6611572995890445E-3</v>
      </c>
      <c r="F97" s="2">
        <v>7.6278143714174629E-3</v>
      </c>
      <c r="G97" s="2">
        <v>1.1099050722361836E-2</v>
      </c>
      <c r="H97" s="2">
        <v>1.4626615037169444E-2</v>
      </c>
      <c r="I97" s="2">
        <v>3.729679795445473E-2</v>
      </c>
    </row>
    <row r="98" spans="1:9">
      <c r="A98" s="16">
        <v>42767</v>
      </c>
      <c r="B98" s="2">
        <v>3.6948799558755407E-2</v>
      </c>
      <c r="C98" s="2">
        <v>5.8752773253325508E-3</v>
      </c>
      <c r="D98" s="2">
        <v>2.1482386063008674E-2</v>
      </c>
      <c r="E98" s="2">
        <v>5.2791597567717119E-2</v>
      </c>
      <c r="F98" s="2">
        <v>3.2735821927054598E-3</v>
      </c>
      <c r="G98" s="2">
        <v>4.1164012622376678E-3</v>
      </c>
      <c r="H98" s="2">
        <v>3.0348475506942751E-3</v>
      </c>
      <c r="I98" s="2">
        <v>2.1396635012866927E-2</v>
      </c>
    </row>
    <row r="99" spans="1:9">
      <c r="A99" s="16">
        <v>42795</v>
      </c>
      <c r="B99" s="2">
        <v>-3.9408872842797704E-3</v>
      </c>
      <c r="C99" s="2">
        <v>3.867080339135609E-2</v>
      </c>
      <c r="D99" s="2">
        <v>1.5893375043280589E-2</v>
      </c>
      <c r="E99" s="2">
        <v>2.4678367025465775E-2</v>
      </c>
      <c r="F99" s="2">
        <v>3.4569050281740843E-4</v>
      </c>
      <c r="G99" s="2">
        <v>0</v>
      </c>
      <c r="H99" s="2">
        <v>7.5642019072954536E-3</v>
      </c>
      <c r="I99" s="2">
        <v>7.1665346775759975E-3</v>
      </c>
    </row>
    <row r="100" spans="1:9">
      <c r="A100" s="16">
        <v>42826</v>
      </c>
      <c r="B100" s="2">
        <v>1.5191984309525397E-2</v>
      </c>
      <c r="C100" s="2">
        <v>4.4610088063590014E-2</v>
      </c>
      <c r="D100" s="2">
        <v>9.6193193277747113E-3</v>
      </c>
      <c r="E100" s="2">
        <v>2.3059211454245832E-2</v>
      </c>
      <c r="F100" s="2">
        <v>8.0490570644329296E-3</v>
      </c>
      <c r="G100" s="2">
        <v>3.139991584603985E-3</v>
      </c>
      <c r="H100" s="2">
        <v>1.4264401613068634E-2</v>
      </c>
      <c r="I100" s="2">
        <v>9.487327929294409E-3</v>
      </c>
    </row>
    <row r="101" spans="1:9">
      <c r="A101" s="16">
        <v>42856</v>
      </c>
      <c r="B101" s="2">
        <v>1.0113371364649293E-2</v>
      </c>
      <c r="C101" s="2">
        <v>4.9085541614125816E-2</v>
      </c>
      <c r="D101" s="2">
        <v>2.2114134671942898E-2</v>
      </c>
      <c r="E101" s="2">
        <v>1.377410468319562E-2</v>
      </c>
      <c r="F101" s="2">
        <v>5.8853248113130974E-3</v>
      </c>
      <c r="G101" s="2">
        <v>-1.5194040201472747E-3</v>
      </c>
      <c r="H101" s="2">
        <v>1.9244815769019263E-2</v>
      </c>
      <c r="I101" s="2">
        <v>5.9643503210937698E-3</v>
      </c>
    </row>
    <row r="102" spans="1:9">
      <c r="A102" s="16">
        <v>42887</v>
      </c>
      <c r="B102" s="2">
        <v>4.8445635653764363E-3</v>
      </c>
      <c r="C102" s="2">
        <v>-1.9035910409015644E-2</v>
      </c>
      <c r="D102" s="2">
        <v>9.6671160843646575E-3</v>
      </c>
      <c r="E102" s="2">
        <v>8.8932806324111269E-3</v>
      </c>
      <c r="F102" s="2">
        <v>-4.6281477912870628E-3</v>
      </c>
      <c r="G102" s="2">
        <v>-8.4515459233315271E-3</v>
      </c>
      <c r="H102" s="2">
        <v>3.2679540998721279E-3</v>
      </c>
      <c r="I102" s="2">
        <v>-1.7967500138919013E-3</v>
      </c>
    </row>
    <row r="103" spans="1:9">
      <c r="A103" s="16">
        <v>42917</v>
      </c>
      <c r="B103" s="2">
        <v>2.3495472563449527E-2</v>
      </c>
      <c r="C103" s="2">
        <v>4.2862858124809833E-2</v>
      </c>
      <c r="D103" s="2">
        <v>3.5196696876180544E-2</v>
      </c>
      <c r="E103" s="2">
        <v>4.1625367286972637E-3</v>
      </c>
      <c r="F103" s="2">
        <v>4.1121609611880494E-3</v>
      </c>
      <c r="G103" s="2">
        <v>4.2869041609387981E-3</v>
      </c>
      <c r="H103" s="2">
        <v>2.9315933969487507E-2</v>
      </c>
      <c r="I103" s="2">
        <v>2.5017831891195996E-2</v>
      </c>
    </row>
    <row r="104" spans="1:9">
      <c r="A104" s="16">
        <v>42948</v>
      </c>
      <c r="B104" s="2">
        <v>1.4985605049693262E-3</v>
      </c>
      <c r="C104" s="2">
        <v>7.0543721567450923E-4</v>
      </c>
      <c r="D104" s="2">
        <v>1.6267384254322614E-3</v>
      </c>
      <c r="E104" s="2">
        <v>5.3401685120784359E-2</v>
      </c>
      <c r="F104" s="2">
        <v>9.1174313889523795E-3</v>
      </c>
      <c r="G104" s="2">
        <v>1.1049077309072119E-2</v>
      </c>
      <c r="H104" s="2">
        <v>7.3839461847828858E-3</v>
      </c>
      <c r="I104" s="2">
        <v>1.4574196927394478E-2</v>
      </c>
    </row>
    <row r="105" spans="1:9">
      <c r="A105" s="16">
        <v>42979</v>
      </c>
      <c r="B105" s="2">
        <v>2.0003244673522547E-2</v>
      </c>
      <c r="C105" s="2">
        <v>2.8022677699572451E-2</v>
      </c>
      <c r="D105" s="2">
        <v>7.0882260406113229E-3</v>
      </c>
      <c r="E105" s="2">
        <v>3.0092568747857262E-2</v>
      </c>
      <c r="F105" s="2">
        <v>-8.9412927770170514E-3</v>
      </c>
      <c r="G105" s="2">
        <v>-7.1778768181702812E-3</v>
      </c>
      <c r="H105" s="2">
        <v>-1.9546086823066133E-2</v>
      </c>
      <c r="I105" s="2">
        <v>-8.1340601721385797E-3</v>
      </c>
    </row>
    <row r="106" spans="1:9">
      <c r="A106" s="16">
        <v>43009</v>
      </c>
      <c r="B106" s="2">
        <v>2.6100245911785613E-2</v>
      </c>
      <c r="C106" s="2">
        <v>8.6161489053002693E-3</v>
      </c>
      <c r="D106" s="2">
        <v>4.767160198162057E-2</v>
      </c>
      <c r="E106" s="2">
        <v>-2.179777528089899E-2</v>
      </c>
      <c r="F106" s="2">
        <v>-2.0273759691258331E-3</v>
      </c>
      <c r="G106" s="2">
        <v>4.0128186241563668E-3</v>
      </c>
      <c r="H106" s="2">
        <v>-7.6434896537116437E-3</v>
      </c>
      <c r="I106" s="2">
        <v>-1.7207747093303527E-2</v>
      </c>
    </row>
    <row r="107" spans="1:9">
      <c r="A107" s="16">
        <v>43040</v>
      </c>
      <c r="B107" s="2">
        <v>3.0302913318327906E-2</v>
      </c>
      <c r="C107" s="2">
        <v>-5.1174283649879637E-4</v>
      </c>
      <c r="D107" s="2">
        <v>1.1524871729998054E-2</v>
      </c>
      <c r="E107" s="2">
        <v>3.1931978679806683E-2</v>
      </c>
      <c r="F107" s="2">
        <v>-3.4243401330501522E-3</v>
      </c>
      <c r="G107" s="2">
        <v>-6.3200759123849259E-4</v>
      </c>
      <c r="H107" s="2">
        <v>2.1089123951968158E-2</v>
      </c>
      <c r="I107" s="2">
        <v>1.1819995483284718E-2</v>
      </c>
    </row>
    <row r="108" spans="1:9">
      <c r="A108" s="16">
        <v>43070</v>
      </c>
      <c r="B108" s="2">
        <v>6.6746749871460231E-3</v>
      </c>
      <c r="C108" s="2">
        <v>9.9027327929970266E-3</v>
      </c>
      <c r="D108" s="2">
        <v>1.2922144908190436E-2</v>
      </c>
      <c r="E108" s="2">
        <v>-1.4915361305225305E-2</v>
      </c>
      <c r="F108" s="2">
        <v>-1.4129116823466958E-3</v>
      </c>
      <c r="G108" s="2">
        <v>5.4447091048051011E-3</v>
      </c>
      <c r="H108" s="2">
        <v>1.6391297876088284E-3</v>
      </c>
      <c r="I108" s="2">
        <v>1.4604604188696024E-2</v>
      </c>
    </row>
    <row r="109" spans="1:9">
      <c r="A109" s="16">
        <v>43101</v>
      </c>
      <c r="B109" s="2">
        <v>5.7472775647760654E-2</v>
      </c>
      <c r="C109" s="2">
        <v>6.1946323195586128E-2</v>
      </c>
      <c r="D109" s="2">
        <v>6.1354269956395147E-2</v>
      </c>
      <c r="E109" s="2">
        <v>5.1525401129943527E-2</v>
      </c>
      <c r="F109" s="2">
        <v>-1.1456193763600298E-2</v>
      </c>
      <c r="G109" s="2">
        <v>-2.7365793061540078E-3</v>
      </c>
      <c r="H109" s="2">
        <v>3.1046653514682276E-2</v>
      </c>
      <c r="I109" s="2">
        <v>5.7951005295753699E-2</v>
      </c>
    </row>
    <row r="110" spans="1:9">
      <c r="A110" s="16">
        <v>43132</v>
      </c>
      <c r="B110" s="2">
        <v>-3.7596111979906199E-2</v>
      </c>
      <c r="C110" s="2">
        <v>-6.1459714821451294E-2</v>
      </c>
      <c r="D110" s="2">
        <v>-4.0073128329173424E-2</v>
      </c>
      <c r="E110" s="2">
        <v>6.511932226776973E-2</v>
      </c>
      <c r="F110" s="2">
        <v>-6.0308072982506733E-3</v>
      </c>
      <c r="G110" s="2">
        <v>-1.0520909142859525E-2</v>
      </c>
      <c r="H110" s="2">
        <v>-8.2021312123583545E-3</v>
      </c>
      <c r="I110" s="2">
        <v>-2.2833451626731338E-2</v>
      </c>
    </row>
    <row r="111" spans="1:9">
      <c r="A111" s="16">
        <v>43160</v>
      </c>
      <c r="B111" s="2">
        <v>-2.3596854351541574E-2</v>
      </c>
      <c r="C111" s="2">
        <v>-8.3560463521425987E-3</v>
      </c>
      <c r="D111" s="2">
        <v>-4.7751466603330739E-3</v>
      </c>
      <c r="E111" s="2">
        <v>-4.0153368842748782E-2</v>
      </c>
      <c r="F111" s="2">
        <v>7.0268112230948976E-3</v>
      </c>
      <c r="G111" s="2">
        <v>1.0284173248202411E-2</v>
      </c>
      <c r="H111" s="2">
        <v>1.7649910251988254E-2</v>
      </c>
      <c r="I111" s="2">
        <v>1.8577551837053008E-2</v>
      </c>
    </row>
    <row r="112" spans="1:9">
      <c r="A112" s="16">
        <v>43191</v>
      </c>
      <c r="B112" s="2">
        <v>8.5739346866193777E-3</v>
      </c>
      <c r="C112" s="2">
        <v>2.6485032451025736E-2</v>
      </c>
      <c r="D112" s="2">
        <v>5.0514738385221136E-3</v>
      </c>
      <c r="E112" s="2">
        <v>-1.7447929367248372E-2</v>
      </c>
      <c r="F112" s="2">
        <v>-9.0396276822595212E-3</v>
      </c>
      <c r="G112" s="2">
        <v>-3.8922603891681229E-3</v>
      </c>
      <c r="H112" s="2">
        <v>-2.7999858765426433E-2</v>
      </c>
      <c r="I112" s="2">
        <v>-3.6052080185623003E-2</v>
      </c>
    </row>
    <row r="113" spans="1:9">
      <c r="A113" s="16">
        <v>43221</v>
      </c>
      <c r="B113" s="2">
        <v>2.7213339768452638E-2</v>
      </c>
      <c r="C113" s="2">
        <v>-2.4242463599529862E-2</v>
      </c>
      <c r="D113" s="2">
        <v>-1.106519060623945E-2</v>
      </c>
      <c r="E113" s="2">
        <v>-2.8883246517618755E-2</v>
      </c>
      <c r="F113" s="2">
        <v>7.9223554721492562E-3</v>
      </c>
      <c r="G113" s="2">
        <v>1.4322801610282543E-3</v>
      </c>
      <c r="H113" s="2">
        <v>-2.0138240851404143E-2</v>
      </c>
      <c r="I113" s="2">
        <v>-3.5127695852544938E-2</v>
      </c>
    </row>
    <row r="114" spans="1:9">
      <c r="A114" s="16">
        <v>43252</v>
      </c>
      <c r="B114" s="2">
        <v>2.7848922243471907E-3</v>
      </c>
      <c r="C114" s="2">
        <v>-3.1573454557238256E-2</v>
      </c>
      <c r="D114" s="2">
        <v>-3.3291961253535174E-2</v>
      </c>
      <c r="E114" s="2">
        <v>-1.233745345533066E-2</v>
      </c>
      <c r="F114" s="2">
        <v>6.6485710357411243E-4</v>
      </c>
      <c r="G114" s="2">
        <v>7.9336579788968908E-3</v>
      </c>
      <c r="H114" s="2">
        <v>-1.0357087060435255E-2</v>
      </c>
      <c r="I114" s="2">
        <v>-1.4538141519000014E-2</v>
      </c>
    </row>
    <row r="115" spans="1:9">
      <c r="A115" s="16">
        <v>43282</v>
      </c>
      <c r="B115" s="2">
        <v>3.7563602797401785E-2</v>
      </c>
      <c r="C115" s="2">
        <v>5.4516755753139412E-2</v>
      </c>
      <c r="D115" s="2">
        <v>1.5520295714899435E-2</v>
      </c>
      <c r="E115" s="2">
        <v>-7.2719202644693115E-2</v>
      </c>
      <c r="F115" s="2">
        <v>-3.1351552237824931E-3</v>
      </c>
      <c r="G115" s="2">
        <v>-6.1567785915331852E-3</v>
      </c>
      <c r="H115" s="2">
        <v>2.9842518036973242E-3</v>
      </c>
      <c r="I115" s="2">
        <v>1.1534830606283908E-2</v>
      </c>
    </row>
    <row r="116" spans="1:9">
      <c r="A116" s="16">
        <v>43313</v>
      </c>
      <c r="B116" s="2">
        <v>3.4323584926009509E-2</v>
      </c>
      <c r="C116" s="2">
        <v>-2.8256392066083102E-2</v>
      </c>
      <c r="D116" s="2">
        <v>-9.49813932164012E-3</v>
      </c>
      <c r="E116" s="2">
        <v>4.6908828482078446E-2</v>
      </c>
      <c r="F116" s="2">
        <v>6.8998591828910438E-3</v>
      </c>
      <c r="G116" s="2">
        <v>6.0772406208635665E-3</v>
      </c>
      <c r="H116" s="2">
        <v>-6.4400408603081383E-3</v>
      </c>
      <c r="I116" s="2">
        <v>-3.6779207182953355E-2</v>
      </c>
    </row>
    <row r="117" spans="1:9">
      <c r="A117" s="16">
        <v>43344</v>
      </c>
      <c r="B117" s="2">
        <v>-2.7986393714418689E-3</v>
      </c>
      <c r="C117" s="2">
        <v>-3.1915462590947907E-3</v>
      </c>
      <c r="D117" s="2">
        <v>1.7603984602343026E-2</v>
      </c>
      <c r="E117" s="2">
        <v>-5.2389659926470711E-2</v>
      </c>
      <c r="F117" s="2">
        <v>-7.6620446542792209E-3</v>
      </c>
      <c r="G117" s="2">
        <v>-8.9674447083509801E-3</v>
      </c>
      <c r="H117" s="2">
        <v>-7.402223758267934E-3</v>
      </c>
      <c r="I117" s="2">
        <v>8.528098387081906E-3</v>
      </c>
    </row>
    <row r="118" spans="1:9">
      <c r="A118" s="16">
        <v>43374</v>
      </c>
      <c r="B118" s="2">
        <v>-6.9686807181319033E-2</v>
      </c>
      <c r="C118" s="2">
        <v>-7.540126680778958E-2</v>
      </c>
      <c r="D118" s="2">
        <v>-9.5908354298980036E-2</v>
      </c>
      <c r="E118" s="2">
        <v>-2.4253151103148518E-4</v>
      </c>
      <c r="F118" s="2">
        <v>-3.8884778193715164E-4</v>
      </c>
      <c r="G118" s="2">
        <v>-1.2691222931751622E-2</v>
      </c>
      <c r="H118" s="2">
        <v>-1.6640778618381313E-2</v>
      </c>
      <c r="I118" s="2">
        <v>-4.3149611469952553E-3</v>
      </c>
    </row>
    <row r="119" spans="1:9">
      <c r="A119" s="16">
        <v>43405</v>
      </c>
      <c r="B119" s="2">
        <v>2.0135753036369275E-2</v>
      </c>
      <c r="C119" s="2">
        <v>-6.7593503762446439E-3</v>
      </c>
      <c r="D119" s="2">
        <v>2.4196185879218346E-2</v>
      </c>
      <c r="E119" s="2">
        <v>-6.7184113509580201E-2</v>
      </c>
      <c r="F119" s="2">
        <v>9.6668902538061818E-3</v>
      </c>
      <c r="G119" s="2">
        <v>4.8681949952023018E-3</v>
      </c>
      <c r="H119" s="2">
        <v>8.4296352348778303E-3</v>
      </c>
      <c r="I119" s="2">
        <v>-5.5671299790317486E-3</v>
      </c>
    </row>
    <row r="120" spans="1:9">
      <c r="A120" s="16">
        <v>43435</v>
      </c>
      <c r="B120" s="2">
        <v>-9.7064181907209557E-2</v>
      </c>
      <c r="C120" s="2">
        <v>-5.4637381818158026E-2</v>
      </c>
      <c r="D120" s="2">
        <v>-7.5903068117215478E-2</v>
      </c>
      <c r="E120" s="2">
        <v>5.7982320800372245E-2</v>
      </c>
      <c r="F120" s="2">
        <v>1.8664858435521348E-2</v>
      </c>
      <c r="G120" s="2">
        <v>3.0350319117899982E-3</v>
      </c>
      <c r="H120" s="2">
        <v>2.0944410430565386E-2</v>
      </c>
      <c r="I120" s="2">
        <v>7.4044470534049278E-3</v>
      </c>
    </row>
    <row r="121" spans="1:9">
      <c r="A121" s="16">
        <v>43466</v>
      </c>
      <c r="B121" s="2">
        <v>9.1777594214191849E-2</v>
      </c>
      <c r="C121" s="2">
        <v>7.3821295304479451E-2</v>
      </c>
      <c r="D121" s="2">
        <v>9.1407714198075363E-2</v>
      </c>
      <c r="E121" s="2">
        <v>-7.1762080898551961E-2</v>
      </c>
      <c r="F121" s="2">
        <v>8.3442884836268938E-3</v>
      </c>
      <c r="G121" s="2">
        <v>1.7399665900731609E-2</v>
      </c>
      <c r="H121" s="2">
        <v>1.6141770184219473E-2</v>
      </c>
      <c r="I121" s="2">
        <v>5.2843731374480285E-2</v>
      </c>
    </row>
    <row r="122" spans="1:9">
      <c r="A122" s="16">
        <v>43497</v>
      </c>
      <c r="B122" s="2">
        <v>3.5588015455670252E-2</v>
      </c>
      <c r="C122" s="2">
        <v>3.1617431282697561E-2</v>
      </c>
      <c r="D122" s="2">
        <v>8.6022058914494437E-3</v>
      </c>
      <c r="E122" s="2">
        <v>0.10034421498543811</v>
      </c>
      <c r="F122" s="2">
        <v>-4.3920965957691127E-3</v>
      </c>
      <c r="G122" s="2">
        <v>-1.7104987221825407E-3</v>
      </c>
      <c r="H122" s="2">
        <v>-1.1785751936664535E-2</v>
      </c>
      <c r="I122" s="2">
        <v>-1.0673623566688439E-2</v>
      </c>
    </row>
    <row r="123" spans="1:9">
      <c r="A123" s="16">
        <v>43525</v>
      </c>
      <c r="B123" s="2">
        <v>8.7131979423418215E-3</v>
      </c>
      <c r="C123" s="2">
        <v>1.86899329925172E-3</v>
      </c>
      <c r="D123" s="2">
        <v>3.0459456075249136E-3</v>
      </c>
      <c r="E123" s="2">
        <v>7.6997110755603337E-3</v>
      </c>
      <c r="F123" s="2">
        <v>1.7893184935322548E-2</v>
      </c>
      <c r="G123" s="2">
        <v>1.9750967315829149E-2</v>
      </c>
      <c r="H123" s="2">
        <v>8.9237550832488299E-3</v>
      </c>
      <c r="I123" s="2">
        <v>6.285824471606194E-3</v>
      </c>
    </row>
    <row r="124" spans="1:9">
      <c r="A124" s="16">
        <v>43556</v>
      </c>
      <c r="B124" s="2">
        <v>4.4869772372412964E-2</v>
      </c>
      <c r="C124" s="2">
        <v>4.5136050136155736E-2</v>
      </c>
      <c r="D124" s="2">
        <v>1.4254680200137093E-2</v>
      </c>
      <c r="E124" s="2">
        <v>2.8175739537350974E-2</v>
      </c>
      <c r="F124" s="2">
        <v>-1.3849303658192147E-3</v>
      </c>
      <c r="G124" s="2">
        <v>2.2109952484190565E-3</v>
      </c>
      <c r="H124" s="2">
        <v>-5.8782658049764125E-3</v>
      </c>
      <c r="I124" s="2">
        <v>-5.6952892818133982E-3</v>
      </c>
    </row>
    <row r="125" spans="1:9">
      <c r="A125" s="16">
        <v>43586</v>
      </c>
      <c r="B125" s="2">
        <v>-6.4499002809978889E-2</v>
      </c>
      <c r="C125" s="2">
        <v>-5.672223645370722E-2</v>
      </c>
      <c r="D125" s="2">
        <v>-4.9947486635764982E-2</v>
      </c>
      <c r="E125" s="2">
        <v>1.0218276585734376E-2</v>
      </c>
      <c r="F125" s="2">
        <v>2.0853493025487335E-2</v>
      </c>
      <c r="G125" s="2">
        <v>1.7207946056613466E-2</v>
      </c>
      <c r="H125" s="2">
        <v>1.1848046531907297E-2</v>
      </c>
      <c r="I125" s="2">
        <v>2.6057234118777028E-3</v>
      </c>
    </row>
    <row r="126" spans="1:9">
      <c r="A126" s="16">
        <v>43617</v>
      </c>
      <c r="B126" s="2">
        <v>6.6813447682782412E-2</v>
      </c>
      <c r="C126" s="2">
        <v>4.4719321433171144E-2</v>
      </c>
      <c r="D126" s="2">
        <v>4.3258545725873621E-2</v>
      </c>
      <c r="E126" s="2">
        <v>-6.0919586206896525E-2</v>
      </c>
      <c r="F126" s="2">
        <v>9.4308090535553113E-3</v>
      </c>
      <c r="G126" s="2">
        <v>2.2180255068140475E-3</v>
      </c>
      <c r="H126" s="2">
        <v>3.423418265724032E-2</v>
      </c>
      <c r="I126" s="2">
        <v>3.524981429287144E-2</v>
      </c>
    </row>
    <row r="127" spans="1:9">
      <c r="A127" s="16">
        <v>43647</v>
      </c>
      <c r="B127" s="2">
        <v>1.7896566626757426E-2</v>
      </c>
      <c r="C127" s="2">
        <v>-8.4986454658827482E-3</v>
      </c>
      <c r="D127" s="2">
        <v>-6.3356393828063462E-3</v>
      </c>
      <c r="E127" s="2">
        <v>6.1199513400221006E-2</v>
      </c>
      <c r="F127" s="2">
        <v>-8.8132185413458686E-4</v>
      </c>
      <c r="G127" s="2">
        <v>3.3977687832975612E-3</v>
      </c>
      <c r="H127" s="2">
        <v>-1.2808332293375635E-2</v>
      </c>
      <c r="I127" s="2">
        <v>-7.1470350873296118E-3</v>
      </c>
    </row>
    <row r="128" spans="1:9">
      <c r="A128" s="16">
        <v>43678</v>
      </c>
      <c r="B128" s="2">
        <v>-2.082673060441198E-2</v>
      </c>
      <c r="C128" s="2">
        <v>-1.6457920465885234E-2</v>
      </c>
      <c r="D128" s="2">
        <v>-2.5640933719590198E-2</v>
      </c>
      <c r="E128" s="2">
        <v>-3.5755457243619726E-2</v>
      </c>
      <c r="F128" s="2">
        <v>2.4912908966862046E-2</v>
      </c>
      <c r="G128" s="2">
        <v>2.6351569744570869E-2</v>
      </c>
      <c r="H128" s="2">
        <v>1.8446980612721431E-2</v>
      </c>
      <c r="I128" s="2">
        <v>3.7940620905496658E-4</v>
      </c>
    </row>
    <row r="129" spans="1:9">
      <c r="A129" s="16">
        <v>43709</v>
      </c>
      <c r="B129" s="2">
        <v>1.3150884337334912E-2</v>
      </c>
      <c r="C129" s="2">
        <v>1.9395366735118102E-2</v>
      </c>
      <c r="D129" s="2">
        <v>4.081319712942566E-2</v>
      </c>
      <c r="E129" s="2">
        <v>-4.3062178063688505E-2</v>
      </c>
      <c r="F129" s="2">
        <v>-7.3427832480736921E-3</v>
      </c>
      <c r="G129" s="2">
        <v>-9.2383388974789371E-3</v>
      </c>
      <c r="H129" s="2">
        <v>-1.0054875026244026E-2</v>
      </c>
      <c r="I129" s="2">
        <v>2.9217044809888293E-3</v>
      </c>
    </row>
    <row r="130" spans="1:9">
      <c r="A130" s="16">
        <v>43739</v>
      </c>
      <c r="B130" s="2">
        <v>2.5738199475122903E-2</v>
      </c>
      <c r="C130" s="2">
        <v>4.4645647454098158E-2</v>
      </c>
      <c r="D130" s="2">
        <v>3.6470284786346729E-2</v>
      </c>
      <c r="E130" s="2">
        <v>6.4999500000000321E-3</v>
      </c>
      <c r="F130" s="2">
        <v>2.8682045070587137E-3</v>
      </c>
      <c r="G130" s="2">
        <v>-1.4769694498300012E-3</v>
      </c>
      <c r="H130" s="2">
        <v>8.9177949682630597E-3</v>
      </c>
      <c r="I130" s="2">
        <v>1.2902116774931471E-2</v>
      </c>
    </row>
    <row r="131" spans="1:9">
      <c r="A131" s="16">
        <v>43770</v>
      </c>
      <c r="B131" s="2">
        <v>3.7877838119800833E-2</v>
      </c>
      <c r="C131" s="2">
        <v>1.2933345759637449E-2</v>
      </c>
      <c r="D131" s="2">
        <v>1.1145250194766199E-2</v>
      </c>
      <c r="E131" s="2">
        <v>5.0919103374023944E-2</v>
      </c>
      <c r="F131" s="2">
        <v>-4.0806814704302807E-3</v>
      </c>
      <c r="G131" s="2">
        <v>4.4500477846862729E-3</v>
      </c>
      <c r="H131" s="2">
        <v>-1.4662083054666986E-2</v>
      </c>
      <c r="I131" s="2">
        <v>-2.1560468174317227E-2</v>
      </c>
    </row>
    <row r="132" spans="1:9">
      <c r="A132" s="16">
        <v>43800</v>
      </c>
      <c r="B132" s="2">
        <v>2.2497153602228037E-2</v>
      </c>
      <c r="C132" s="2">
        <v>3.9191293554850626E-2</v>
      </c>
      <c r="D132" s="2">
        <v>9.1371780089566368E-3</v>
      </c>
      <c r="E132" s="2">
        <v>-3.5452847188541803E-3</v>
      </c>
      <c r="F132" s="2">
        <v>-4.978450039114235E-3</v>
      </c>
      <c r="G132" s="2">
        <v>1.805260545115539E-3</v>
      </c>
      <c r="H132" s="2">
        <v>1.2531877201342079E-2</v>
      </c>
      <c r="I132" s="2">
        <v>2.0634503864402909E-2</v>
      </c>
    </row>
    <row r="133" spans="1:9">
      <c r="A133" s="16">
        <v>43831</v>
      </c>
      <c r="B133" s="2">
        <v>4.8076482486967276E-3</v>
      </c>
      <c r="C133" s="2">
        <v>-2.5347961569679889E-2</v>
      </c>
      <c r="D133" s="2">
        <v>-2.1137632312995036E-2</v>
      </c>
      <c r="E133" s="2">
        <v>6.9022770398482036E-2</v>
      </c>
      <c r="F133" s="2">
        <v>2.5812294405797021E-2</v>
      </c>
      <c r="G133" s="2">
        <v>2.3230880699723233E-2</v>
      </c>
      <c r="H133" s="2">
        <v>6.0689970823728512E-3</v>
      </c>
      <c r="I133" s="2">
        <v>8.7590662950363107E-3</v>
      </c>
    </row>
    <row r="134" spans="1:9">
      <c r="A134" s="16">
        <v>43862</v>
      </c>
      <c r="B134" s="2">
        <v>-7.9990230084557079E-2</v>
      </c>
      <c r="C134" s="2">
        <v>-7.9591518699628772E-2</v>
      </c>
      <c r="D134" s="2">
        <v>-7.4239727285348778E-2</v>
      </c>
      <c r="E134" s="2">
        <v>-6.6784978921677451E-2</v>
      </c>
      <c r="F134" s="2">
        <v>1.9002586117849996E-2</v>
      </c>
      <c r="G134" s="2">
        <v>8.1471418519047933E-3</v>
      </c>
      <c r="H134" s="2">
        <v>-6.9136810067904619E-4</v>
      </c>
      <c r="I134" s="2">
        <v>-1.4817483161251532E-2</v>
      </c>
    </row>
    <row r="135" spans="1:9">
      <c r="A135" s="16">
        <v>43891</v>
      </c>
      <c r="B135" s="2">
        <v>-0.1431134587902837</v>
      </c>
      <c r="C135" s="2">
        <v>-0.17199162870907936</v>
      </c>
      <c r="D135" s="2">
        <v>-0.11175517615777053</v>
      </c>
      <c r="E135" s="2">
        <v>-3.7089894505708654E-2</v>
      </c>
      <c r="F135" s="2">
        <v>2.95993090204687E-2</v>
      </c>
      <c r="G135" s="2">
        <v>-1.6529802243668068E-2</v>
      </c>
      <c r="H135" s="2">
        <v>-3.749671946879829E-2</v>
      </c>
      <c r="I135" s="2">
        <v>-0.10404663009726711</v>
      </c>
    </row>
    <row r="136" spans="1:9">
      <c r="A136" s="16">
        <v>43922</v>
      </c>
      <c r="B136" s="2">
        <v>0.13695160082501334</v>
      </c>
      <c r="C136" s="2">
        <v>7.1485453288350875E-2</v>
      </c>
      <c r="D136" s="2">
        <v>6.3345972293272768E-2</v>
      </c>
      <c r="E136" s="2">
        <v>-0.19259256790123458</v>
      </c>
      <c r="F136" s="2">
        <v>-1.275790237218466E-4</v>
      </c>
      <c r="G136" s="2">
        <v>2.8748235128967625E-2</v>
      </c>
      <c r="H136" s="2">
        <v>1.4546446848841432E-2</v>
      </c>
      <c r="I136" s="2">
        <v>2.5735942636859965E-2</v>
      </c>
    </row>
    <row r="137" spans="1:9">
      <c r="A137" s="16">
        <v>43952</v>
      </c>
      <c r="B137" s="2">
        <v>5.3963324299597382E-2</v>
      </c>
      <c r="C137" s="2">
        <v>5.8389364011287137E-2</v>
      </c>
      <c r="D137" s="2">
        <v>6.0538882342068279E-2</v>
      </c>
      <c r="E137" s="2">
        <v>7.9816511320595973E-2</v>
      </c>
      <c r="F137" s="2">
        <v>3.7939249037839406E-3</v>
      </c>
      <c r="G137" s="2">
        <v>5.5401008223237014E-3</v>
      </c>
      <c r="H137" s="2">
        <v>9.2144693713571701E-3</v>
      </c>
      <c r="I137" s="2">
        <v>3.2845910123331823E-2</v>
      </c>
    </row>
    <row r="138" spans="1:9">
      <c r="H138" s="2"/>
      <c r="I138" s="2"/>
    </row>
    <row r="139" spans="1:9">
      <c r="H139" s="2"/>
      <c r="I139" s="2"/>
    </row>
  </sheetData>
  <mergeCells count="1">
    <mergeCell ref="P13:X13"/>
  </mergeCells>
  <phoneticPr fontId="10" type="noConversion"/>
  <hyperlinks>
    <hyperlink ref="B8" r:id="rId1" xr:uid="{ABD67D7D-A6F1-DF46-AEDF-CCAA32C41149}"/>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98E11-33A9-A341-8231-FBAEE9B7E65C}">
  <dimension ref="A1:O245"/>
  <sheetViews>
    <sheetView zoomScale="110" zoomScaleNormal="110" workbookViewId="0">
      <pane ySplit="12" topLeftCell="A13" activePane="bottomLeft" state="frozen"/>
      <selection pane="bottomLeft" activeCell="E31" sqref="E31"/>
    </sheetView>
  </sheetViews>
  <sheetFormatPr baseColWidth="10" defaultRowHeight="16"/>
  <cols>
    <col min="1" max="1" width="34.6640625" customWidth="1"/>
    <col min="2" max="2" width="12.1640625" bestFit="1" customWidth="1"/>
    <col min="5" max="5" width="11.5" bestFit="1" customWidth="1"/>
    <col min="7" max="7" width="19.83203125" style="72" bestFit="1" customWidth="1"/>
    <col min="8" max="8" width="9" bestFit="1" customWidth="1"/>
    <col min="11" max="11" width="10.83203125" style="1"/>
    <col min="12" max="12" width="38" style="36" bestFit="1" customWidth="1"/>
  </cols>
  <sheetData>
    <row r="1" spans="1:15">
      <c r="A1" t="s">
        <v>0</v>
      </c>
      <c r="G1"/>
      <c r="L1" s="36" t="s">
        <v>338</v>
      </c>
      <c r="M1" t="s">
        <v>339</v>
      </c>
    </row>
    <row r="2" spans="1:15">
      <c r="A2" t="s">
        <v>331</v>
      </c>
      <c r="G2"/>
      <c r="L2" s="36" t="s">
        <v>340</v>
      </c>
    </row>
    <row r="3" spans="1:15">
      <c r="A3" t="s">
        <v>307</v>
      </c>
      <c r="G3"/>
      <c r="L3" s="36" t="s">
        <v>341</v>
      </c>
    </row>
    <row r="4" spans="1:15">
      <c r="A4" t="s">
        <v>308</v>
      </c>
      <c r="G4"/>
      <c r="L4" s="36" t="s">
        <v>342</v>
      </c>
    </row>
    <row r="5" spans="1:15">
      <c r="A5" t="s">
        <v>309</v>
      </c>
      <c r="G5"/>
      <c r="L5" s="36" t="s">
        <v>343</v>
      </c>
    </row>
    <row r="6" spans="1:15">
      <c r="A6" t="s">
        <v>346</v>
      </c>
      <c r="G6"/>
      <c r="L6" s="36" t="s">
        <v>344</v>
      </c>
    </row>
    <row r="7" spans="1:15">
      <c r="A7" t="s">
        <v>310</v>
      </c>
      <c r="G7"/>
      <c r="L7" s="36" t="s">
        <v>345</v>
      </c>
    </row>
    <row r="8" spans="1:15">
      <c r="A8" t="s">
        <v>332</v>
      </c>
      <c r="B8" t="s">
        <v>333</v>
      </c>
      <c r="G8"/>
      <c r="L8" s="36" t="s">
        <v>396</v>
      </c>
    </row>
    <row r="9" spans="1:15">
      <c r="A9" t="s">
        <v>335</v>
      </c>
      <c r="B9" t="s">
        <v>336</v>
      </c>
      <c r="G9"/>
      <c r="L9" s="36" t="s">
        <v>404</v>
      </c>
    </row>
    <row r="10" spans="1:15">
      <c r="A10" t="s">
        <v>337</v>
      </c>
      <c r="G10"/>
      <c r="L10" s="36" t="s">
        <v>405</v>
      </c>
    </row>
    <row r="11" spans="1:15">
      <c r="A11" t="s">
        <v>305</v>
      </c>
      <c r="B11" t="s">
        <v>306</v>
      </c>
      <c r="G11"/>
      <c r="L11" s="36" t="s">
        <v>424</v>
      </c>
    </row>
    <row r="12" spans="1:15">
      <c r="G12"/>
    </row>
    <row r="13" spans="1:15">
      <c r="G13"/>
    </row>
    <row r="14" spans="1:15">
      <c r="A14" s="3" t="s">
        <v>394</v>
      </c>
      <c r="B14" s="60">
        <v>10000</v>
      </c>
      <c r="D14" s="3" t="s">
        <v>276</v>
      </c>
      <c r="E14" s="63">
        <f>AVERAGE(H15:H114)</f>
        <v>168541.60049292175</v>
      </c>
      <c r="G14" s="62" t="s">
        <v>301</v>
      </c>
      <c r="H14" s="61">
        <f ca="1">L134</f>
        <v>180952.05922854025</v>
      </c>
      <c r="J14" s="3" t="s">
        <v>334</v>
      </c>
      <c r="K14" s="9" t="s">
        <v>302</v>
      </c>
      <c r="L14" s="60" t="s">
        <v>303</v>
      </c>
      <c r="O14" s="70"/>
    </row>
    <row r="15" spans="1:15">
      <c r="A15" s="3" t="s">
        <v>296</v>
      </c>
      <c r="B15" s="10">
        <v>4.4999999999999997E-3</v>
      </c>
      <c r="D15" s="3" t="s">
        <v>42</v>
      </c>
      <c r="E15" s="63">
        <f>MEDIAN(H15:H114)</f>
        <v>163039.65612067294</v>
      </c>
      <c r="G15" s="60">
        <v>1</v>
      </c>
      <c r="H15" s="60">
        <f t="dataTable" ref="H15:H214" dt2D="0" dtr="0" r1="I13" ca="1"/>
        <v>173685.34967745238</v>
      </c>
      <c r="J15" s="3">
        <v>1</v>
      </c>
      <c r="K15" s="9">
        <f ca="1">_xlfn.NORM.INV(RAND(),$B$15,$B$16)</f>
        <v>8.1021753382836854E-3</v>
      </c>
      <c r="L15" s="60">
        <f ca="1">(B14+B18)*(1+K15)</f>
        <v>11089.123928721121</v>
      </c>
      <c r="N15" s="59"/>
    </row>
    <row r="16" spans="1:15">
      <c r="A16" s="3" t="s">
        <v>297</v>
      </c>
      <c r="B16" s="9">
        <v>2.6457513110645901E-2</v>
      </c>
      <c r="D16" s="3" t="s">
        <v>299</v>
      </c>
      <c r="E16" s="60">
        <f>_xlfn.STDEV.S(H15:H114)</f>
        <v>33459.934395072967</v>
      </c>
      <c r="G16" s="60">
        <v>2</v>
      </c>
      <c r="H16" s="60">
        <v>198324.71920146621</v>
      </c>
      <c r="J16" s="3">
        <v>2</v>
      </c>
      <c r="K16" s="9">
        <f ca="1">_xlfn.NORM.INV(RAND(),$B$15,$B$16)</f>
        <v>1.6288175415725276E-2</v>
      </c>
      <c r="L16" s="60">
        <f ca="1">(L15+$B$18)*(1+K16)</f>
        <v>12286.033699894573</v>
      </c>
    </row>
    <row r="17" spans="1:12">
      <c r="A17" s="3" t="s">
        <v>298</v>
      </c>
      <c r="B17" s="3">
        <v>120</v>
      </c>
      <c r="D17" s="3" t="s">
        <v>300</v>
      </c>
      <c r="E17" s="3"/>
      <c r="G17" s="60">
        <v>3</v>
      </c>
      <c r="H17" s="60">
        <v>175350.18380828851</v>
      </c>
      <c r="J17" s="3">
        <v>3</v>
      </c>
      <c r="K17" s="9">
        <f t="shared" ref="K17:K79" ca="1" si="0">_xlfn.NORM.INV(RAND(),$B$15,$B$16)</f>
        <v>-1.574170366273147E-2</v>
      </c>
      <c r="L17" s="60">
        <f ca="1">(L16+$B$18)*(1+K17)</f>
        <v>13076.888894537769</v>
      </c>
    </row>
    <row r="18" spans="1:12">
      <c r="A18" s="3" t="s">
        <v>304</v>
      </c>
      <c r="B18" s="3">
        <v>1000</v>
      </c>
      <c r="D18" s="19">
        <v>0.05</v>
      </c>
      <c r="E18" s="60">
        <f>_xlfn.PERCENTILE.INC($H$15:$H$114,D18)</f>
        <v>128228.2280309109</v>
      </c>
      <c r="G18" s="60">
        <v>4</v>
      </c>
      <c r="H18" s="60">
        <v>142662.50094165414</v>
      </c>
      <c r="J18" s="3">
        <v>4</v>
      </c>
      <c r="K18" s="9">
        <f t="shared" ca="1" si="0"/>
        <v>2.9062798872970624E-2</v>
      </c>
      <c r="L18" s="60">
        <f t="shared" ref="L18:L81" ca="1" si="1">(L17+$B$18)*(1+K18)</f>
        <v>14486.002685236874</v>
      </c>
    </row>
    <row r="19" spans="1:12">
      <c r="D19" s="19">
        <v>0.25</v>
      </c>
      <c r="E19" s="60">
        <f>_xlfn.PERCENTILE.INC($H$15:$H$114,D19)</f>
        <v>146715.31402757938</v>
      </c>
      <c r="G19" s="60">
        <v>5</v>
      </c>
      <c r="H19" s="60">
        <v>153028.95655990383</v>
      </c>
      <c r="J19" s="3">
        <v>5</v>
      </c>
      <c r="K19" s="9">
        <f ca="1">_xlfn.NORM.INV(RAND(),$B$15,$B$16)</f>
        <v>-4.8256087661514402E-2</v>
      </c>
      <c r="L19" s="60">
        <f ca="1">(L18+$B$18)*(1+K19)</f>
        <v>14738.708782131636</v>
      </c>
    </row>
    <row r="20" spans="1:12">
      <c r="G20" s="60">
        <v>6</v>
      </c>
      <c r="H20" s="60">
        <v>139663.8055780592</v>
      </c>
      <c r="J20" s="3">
        <v>6</v>
      </c>
      <c r="K20" s="9">
        <f t="shared" ca="1" si="0"/>
        <v>3.9167655252111702E-2</v>
      </c>
      <c r="L20" s="60">
        <f t="shared" ca="1" si="1"/>
        <v>16355.15710182355</v>
      </c>
    </row>
    <row r="21" spans="1:12" ht="34">
      <c r="A21" s="87" t="s">
        <v>406</v>
      </c>
      <c r="B21" s="61">
        <f>E19</f>
        <v>146715.31402757938</v>
      </c>
      <c r="G21" s="60">
        <v>7</v>
      </c>
      <c r="H21" s="60">
        <v>178278.9119379741</v>
      </c>
      <c r="J21" s="3">
        <v>7</v>
      </c>
      <c r="K21" s="9">
        <f t="shared" ca="1" si="0"/>
        <v>5.443727927425223E-2</v>
      </c>
      <c r="L21" s="60">
        <f t="shared" ca="1" si="1"/>
        <v>18299.924635824038</v>
      </c>
    </row>
    <row r="22" spans="1:12">
      <c r="A22" t="s">
        <v>395</v>
      </c>
      <c r="B22" s="1">
        <f>RATE(B17,B18*-1,B14*-1,B21,0)</f>
        <v>1.8507845473694554E-3</v>
      </c>
      <c r="G22" s="60">
        <v>8</v>
      </c>
      <c r="H22" s="60">
        <v>261042.91971304693</v>
      </c>
      <c r="J22" s="3">
        <v>8</v>
      </c>
      <c r="K22" s="9">
        <f t="shared" ca="1" si="0"/>
        <v>1.0935552610277942E-2</v>
      </c>
      <c r="L22" s="60">
        <f t="shared" ca="1" si="1"/>
        <v>19510.979977053492</v>
      </c>
    </row>
    <row r="23" spans="1:12" ht="34">
      <c r="A23" s="89" t="s">
        <v>407</v>
      </c>
      <c r="B23" s="1">
        <f>RATE(B17/12,B18*12*-1,B14*-1,B21,0)</f>
        <v>2.4289278701544563E-2</v>
      </c>
      <c r="G23" s="60">
        <v>9</v>
      </c>
      <c r="H23" s="60">
        <v>218032.63061644445</v>
      </c>
      <c r="J23" s="3">
        <v>9</v>
      </c>
      <c r="K23" s="9">
        <f t="shared" ca="1" si="0"/>
        <v>1.2793310730419494E-2</v>
      </c>
      <c r="L23" s="60">
        <f t="shared" ca="1" si="1"/>
        <v>20773.383317285348</v>
      </c>
    </row>
    <row r="24" spans="1:12">
      <c r="G24" s="60">
        <v>10</v>
      </c>
      <c r="H24" s="60">
        <v>154639.23137442689</v>
      </c>
      <c r="J24" s="3">
        <v>10</v>
      </c>
      <c r="K24" s="9">
        <f t="shared" ca="1" si="0"/>
        <v>-2.9887329163215289E-2</v>
      </c>
      <c r="L24" s="60">
        <f t="shared" ca="1" si="1"/>
        <v>21122.635043084782</v>
      </c>
    </row>
    <row r="25" spans="1:12">
      <c r="G25" s="60">
        <v>11</v>
      </c>
      <c r="H25" s="60">
        <v>173615.7674951503</v>
      </c>
      <c r="J25" s="3">
        <v>11</v>
      </c>
      <c r="K25" s="9">
        <f t="shared" ca="1" si="0"/>
        <v>-6.7593667937084082E-3</v>
      </c>
      <c r="L25" s="60">
        <f t="shared" ca="1" si="1"/>
        <v>21973.100038385226</v>
      </c>
    </row>
    <row r="26" spans="1:12">
      <c r="G26" s="60">
        <v>12</v>
      </c>
      <c r="H26" s="60">
        <v>174704.87685929638</v>
      </c>
      <c r="J26" s="3">
        <v>12</v>
      </c>
      <c r="K26" s="9">
        <f t="shared" ca="1" si="0"/>
        <v>-3.6696910131570552E-2</v>
      </c>
      <c r="L26" s="60">
        <f t="shared" ca="1" si="1"/>
        <v>22130.058250833026</v>
      </c>
    </row>
    <row r="27" spans="1:12">
      <c r="G27" s="60">
        <v>13</v>
      </c>
      <c r="H27" s="60">
        <v>151449.44136400538</v>
      </c>
      <c r="J27" s="3">
        <v>13</v>
      </c>
      <c r="K27" s="9">
        <f t="shared" ca="1" si="0"/>
        <v>3.3106839587620222E-2</v>
      </c>
      <c r="L27" s="60">
        <f ca="1">(L26+$B$18)*(1+K27)</f>
        <v>23895.821378995664</v>
      </c>
    </row>
    <row r="28" spans="1:12">
      <c r="G28" s="60">
        <v>14</v>
      </c>
      <c r="H28" s="60">
        <v>194318.52249030056</v>
      </c>
      <c r="J28" s="3">
        <v>14</v>
      </c>
      <c r="K28" s="9">
        <f t="shared" ca="1" si="0"/>
        <v>-2.5868902497892645E-3</v>
      </c>
      <c r="L28" s="60">
        <f t="shared" ca="1" si="1"/>
        <v>24831.418621409844</v>
      </c>
    </row>
    <row r="29" spans="1:12">
      <c r="G29" s="60">
        <v>15</v>
      </c>
      <c r="H29" s="60">
        <v>204842.15410283711</v>
      </c>
      <c r="J29" s="3">
        <v>15</v>
      </c>
      <c r="K29" s="9">
        <f t="shared" ca="1" si="0"/>
        <v>7.0150062110261721E-3</v>
      </c>
      <c r="L29" s="60">
        <f t="shared" ca="1" si="1"/>
        <v>26012.626183478649</v>
      </c>
    </row>
    <row r="30" spans="1:12">
      <c r="G30" s="60">
        <v>16</v>
      </c>
      <c r="H30" s="60">
        <v>138747.01049878213</v>
      </c>
      <c r="J30" s="3">
        <v>16</v>
      </c>
      <c r="K30" s="9">
        <f t="shared" ca="1" si="0"/>
        <v>-3.767501495603418E-3</v>
      </c>
      <c r="L30" s="60">
        <f t="shared" ca="1" si="1"/>
        <v>26910.856073932217</v>
      </c>
    </row>
    <row r="31" spans="1:12">
      <c r="G31" s="60">
        <v>17</v>
      </c>
      <c r="H31" s="60">
        <v>218361.33415786413</v>
      </c>
      <c r="J31" s="3">
        <v>17</v>
      </c>
      <c r="K31" s="9">
        <f t="shared" ca="1" si="0"/>
        <v>3.4918394204393986E-2</v>
      </c>
      <c r="L31" s="60">
        <f t="shared" ca="1" si="1"/>
        <v>28885.458348903889</v>
      </c>
    </row>
    <row r="32" spans="1:12">
      <c r="G32" s="60">
        <v>18</v>
      </c>
      <c r="H32" s="60">
        <v>131887.79048545272</v>
      </c>
      <c r="J32" s="3">
        <v>18</v>
      </c>
      <c r="K32" s="9">
        <f t="shared" ca="1" si="0"/>
        <v>4.3538131749489379E-3</v>
      </c>
      <c r="L32" s="60">
        <f t="shared" ca="1" si="1"/>
        <v>30015.574051202737</v>
      </c>
    </row>
    <row r="33" spans="7:12">
      <c r="G33" s="60">
        <v>19</v>
      </c>
      <c r="H33" s="60">
        <v>222954.51880224</v>
      </c>
      <c r="J33" s="3">
        <v>19</v>
      </c>
      <c r="K33" s="9">
        <f t="shared" ca="1" si="0"/>
        <v>6.3225419483629933E-3</v>
      </c>
      <c r="L33" s="60">
        <f t="shared" ca="1" si="1"/>
        <v>31211.671319194025</v>
      </c>
    </row>
    <row r="34" spans="7:12">
      <c r="G34" s="60">
        <v>20</v>
      </c>
      <c r="H34" s="60">
        <v>121350.69432017993</v>
      </c>
      <c r="J34" s="3">
        <v>20</v>
      </c>
      <c r="K34" s="9">
        <f t="shared" ca="1" si="0"/>
        <v>5.0473220542916319E-4</v>
      </c>
      <c r="L34" s="60">
        <f t="shared" ca="1" si="1"/>
        <v>32227.929587099523</v>
      </c>
    </row>
    <row r="35" spans="7:12">
      <c r="G35" s="60">
        <v>21</v>
      </c>
      <c r="H35" s="60">
        <v>204794.86331479502</v>
      </c>
      <c r="J35" s="3">
        <v>21</v>
      </c>
      <c r="K35" s="9">
        <f t="shared" ca="1" si="0"/>
        <v>-2.6416406711785627E-2</v>
      </c>
      <c r="L35" s="60">
        <f t="shared" ca="1" si="1"/>
        <v>32350.167084936133</v>
      </c>
    </row>
    <row r="36" spans="7:12">
      <c r="G36" s="60">
        <v>22</v>
      </c>
      <c r="H36" s="60">
        <v>146522.372241223</v>
      </c>
      <c r="J36" s="3">
        <v>22</v>
      </c>
      <c r="K36" s="9">
        <f t="shared" ca="1" si="0"/>
        <v>1.7650182959078685E-2</v>
      </c>
      <c r="L36" s="60">
        <f t="shared" ca="1" si="1"/>
        <v>33938.803635701101</v>
      </c>
    </row>
    <row r="37" spans="7:12">
      <c r="G37" s="60">
        <v>23</v>
      </c>
      <c r="H37" s="60">
        <v>102007.14748093208</v>
      </c>
      <c r="J37" s="3">
        <v>23</v>
      </c>
      <c r="K37" s="9">
        <f t="shared" ca="1" si="0"/>
        <v>4.5984950150847317E-2</v>
      </c>
      <c r="L37" s="60">
        <f t="shared" ca="1" si="1"/>
        <v>36545.462779219059</v>
      </c>
    </row>
    <row r="38" spans="7:12">
      <c r="G38" s="60">
        <v>24</v>
      </c>
      <c r="H38" s="60">
        <v>147201.08617252175</v>
      </c>
      <c r="J38" s="3">
        <v>24</v>
      </c>
      <c r="K38" s="9">
        <f t="shared" ca="1" si="0"/>
        <v>-1.1205347727244437E-3</v>
      </c>
      <c r="L38" s="60">
        <f t="shared" ca="1" si="1"/>
        <v>37503.391782616913</v>
      </c>
    </row>
    <row r="39" spans="7:12">
      <c r="G39" s="60">
        <v>25</v>
      </c>
      <c r="H39" s="60">
        <v>184245.96916559048</v>
      </c>
      <c r="J39" s="3">
        <v>25</v>
      </c>
      <c r="K39" s="9">
        <f t="shared" ca="1" si="0"/>
        <v>2.1895034694613461E-2</v>
      </c>
      <c r="L39" s="60">
        <f t="shared" ca="1" si="1"/>
        <v>39346.424881557599</v>
      </c>
    </row>
    <row r="40" spans="7:12">
      <c r="G40" s="60">
        <v>26</v>
      </c>
      <c r="H40" s="60">
        <v>168511.93650922086</v>
      </c>
      <c r="J40" s="3">
        <v>26</v>
      </c>
      <c r="K40" s="9">
        <f t="shared" ca="1" si="0"/>
        <v>4.7688286409095955E-2</v>
      </c>
      <c r="L40" s="60">
        <f t="shared" ca="1" si="1"/>
        <v>42270.476746892396</v>
      </c>
    </row>
    <row r="41" spans="7:12">
      <c r="G41" s="60">
        <v>27</v>
      </c>
      <c r="H41" s="60">
        <v>181986.25277180172</v>
      </c>
      <c r="J41" s="3">
        <v>27</v>
      </c>
      <c r="K41" s="9">
        <f t="shared" ca="1" si="0"/>
        <v>3.8710652802945493E-2</v>
      </c>
      <c r="L41" s="60">
        <f t="shared" ca="1" si="1"/>
        <v>44945.505148859273</v>
      </c>
    </row>
    <row r="42" spans="7:12">
      <c r="G42" s="60">
        <v>28</v>
      </c>
      <c r="H42" s="60">
        <v>209102.49946485538</v>
      </c>
      <c r="J42" s="3">
        <v>28</v>
      </c>
      <c r="K42" s="9">
        <f t="shared" ca="1" si="0"/>
        <v>-2.4827144574183242E-3</v>
      </c>
      <c r="L42" s="60">
        <f t="shared" ca="1" si="1"/>
        <v>45831.435578972814</v>
      </c>
    </row>
    <row r="43" spans="7:12">
      <c r="G43" s="60">
        <v>29</v>
      </c>
      <c r="H43" s="60">
        <v>233429.70254086232</v>
      </c>
      <c r="J43" s="3">
        <v>29</v>
      </c>
      <c r="K43" s="9">
        <f t="shared" ca="1" si="0"/>
        <v>-3.0319158947867606E-2</v>
      </c>
      <c r="L43" s="60">
        <f t="shared" ca="1" si="1"/>
        <v>45411.545839897117</v>
      </c>
    </row>
    <row r="44" spans="7:12">
      <c r="G44" s="60">
        <v>30</v>
      </c>
      <c r="H44" s="60">
        <v>293181.4041267393</v>
      </c>
      <c r="J44" s="3">
        <v>30</v>
      </c>
      <c r="K44" s="9">
        <f t="shared" ca="1" si="0"/>
        <v>2.4819791679632861E-2</v>
      </c>
      <c r="L44" s="60">
        <f t="shared" ca="1" si="1"/>
        <v>47563.470739173099</v>
      </c>
    </row>
    <row r="45" spans="7:12">
      <c r="G45" s="60">
        <v>31</v>
      </c>
      <c r="H45" s="60">
        <v>132208.87267552366</v>
      </c>
      <c r="J45" s="3">
        <v>31</v>
      </c>
      <c r="K45" s="9">
        <f t="shared" ca="1" si="0"/>
        <v>6.2223548105513442E-3</v>
      </c>
      <c r="L45" s="60">
        <f t="shared" ca="1" si="1"/>
        <v>48865.649884944061</v>
      </c>
    </row>
    <row r="46" spans="7:12">
      <c r="G46" s="60">
        <v>32</v>
      </c>
      <c r="H46" s="60">
        <v>182929.21732748617</v>
      </c>
      <c r="J46" s="3">
        <v>32</v>
      </c>
      <c r="K46" s="9">
        <f t="shared" ca="1" si="0"/>
        <v>-2.84366942151997E-3</v>
      </c>
      <c r="L46" s="60">
        <f t="shared" ca="1" si="1"/>
        <v>49723.848461182024</v>
      </c>
    </row>
    <row r="47" spans="7:12">
      <c r="G47" s="60">
        <v>33</v>
      </c>
      <c r="H47" s="60">
        <v>146130.04440074941</v>
      </c>
      <c r="J47" s="3">
        <v>33</v>
      </c>
      <c r="K47" s="9">
        <f t="shared" ca="1" si="0"/>
        <v>1.5407536965263546E-2</v>
      </c>
      <c r="L47" s="60">
        <f t="shared" ca="1" si="1"/>
        <v>51505.378031368113</v>
      </c>
    </row>
    <row r="48" spans="7:12">
      <c r="G48" s="60">
        <v>34</v>
      </c>
      <c r="H48" s="60">
        <v>143470.15913577942</v>
      </c>
      <c r="J48" s="3">
        <v>34</v>
      </c>
      <c r="K48" s="9">
        <f t="shared" ca="1" si="0"/>
        <v>-1.5216353589202824E-2</v>
      </c>
      <c r="L48" s="60">
        <f t="shared" ca="1" si="1"/>
        <v>51706.437633908055</v>
      </c>
    </row>
    <row r="49" spans="7:12">
      <c r="G49" s="60">
        <v>35</v>
      </c>
      <c r="H49" s="60">
        <v>153072.4105302362</v>
      </c>
      <c r="J49" s="3">
        <v>35</v>
      </c>
      <c r="K49" s="9">
        <f t="shared" ca="1" si="0"/>
        <v>4.1282188027082681E-2</v>
      </c>
      <c r="L49" s="60">
        <f t="shared" ca="1" si="1"/>
        <v>54882.274702548748</v>
      </c>
    </row>
    <row r="50" spans="7:12">
      <c r="G50" s="60">
        <v>36</v>
      </c>
      <c r="H50" s="60">
        <v>128849.92277549428</v>
      </c>
      <c r="J50" s="3">
        <v>36</v>
      </c>
      <c r="K50" s="9">
        <f t="shared" ca="1" si="0"/>
        <v>-1.9263624444589404E-2</v>
      </c>
      <c r="L50" s="60">
        <f t="shared" ca="1" si="1"/>
        <v>54805.779549569474</v>
      </c>
    </row>
    <row r="51" spans="7:12">
      <c r="G51" s="60">
        <v>37</v>
      </c>
      <c r="H51" s="60">
        <v>196599.98563172063</v>
      </c>
      <c r="J51" s="3">
        <v>37</v>
      </c>
      <c r="K51" s="9">
        <f t="shared" ca="1" si="0"/>
        <v>-1.499424460729696E-2</v>
      </c>
      <c r="L51" s="60">
        <f t="shared" ca="1" si="1"/>
        <v>54969.014040502341</v>
      </c>
    </row>
    <row r="52" spans="7:12">
      <c r="G52" s="60">
        <v>38</v>
      </c>
      <c r="H52" s="60">
        <v>111174.55860795101</v>
      </c>
      <c r="J52" s="3">
        <v>38</v>
      </c>
      <c r="K52" s="9">
        <f t="shared" ca="1" si="0"/>
        <v>-1.9126949553520761E-2</v>
      </c>
      <c r="L52" s="60">
        <f t="shared" ca="1" si="1"/>
        <v>54898.49753238936</v>
      </c>
    </row>
    <row r="53" spans="7:12">
      <c r="G53" s="60">
        <v>39</v>
      </c>
      <c r="H53" s="60">
        <v>149439.25328966291</v>
      </c>
      <c r="J53" s="3">
        <v>39</v>
      </c>
      <c r="K53" s="9">
        <f t="shared" ca="1" si="0"/>
        <v>-1.2086941549469103E-2</v>
      </c>
      <c r="L53" s="60">
        <f t="shared" ca="1" si="1"/>
        <v>55222.855660012225</v>
      </c>
    </row>
    <row r="54" spans="7:12">
      <c r="G54" s="60">
        <v>40</v>
      </c>
      <c r="H54" s="60">
        <v>197680.64251296222</v>
      </c>
      <c r="J54" s="3">
        <v>40</v>
      </c>
      <c r="K54" s="9">
        <f t="shared" ca="1" si="0"/>
        <v>-3.9519579180873114E-2</v>
      </c>
      <c r="L54" s="60">
        <f t="shared" ca="1" si="1"/>
        <v>54000.952063981575</v>
      </c>
    </row>
    <row r="55" spans="7:12">
      <c r="G55" s="60">
        <v>41</v>
      </c>
      <c r="H55" s="60">
        <v>135449.2147731329</v>
      </c>
      <c r="J55" s="3">
        <v>41</v>
      </c>
      <c r="K55" s="9">
        <f t="shared" ca="1" si="0"/>
        <v>-8.254596814110237E-3</v>
      </c>
      <c r="L55" s="60">
        <f t="shared" ca="1" si="1"/>
        <v>54546.941380301199</v>
      </c>
    </row>
    <row r="56" spans="7:12">
      <c r="G56" s="60">
        <v>42</v>
      </c>
      <c r="H56" s="60">
        <v>153998.21882489664</v>
      </c>
      <c r="J56" s="3">
        <v>42</v>
      </c>
      <c r="K56" s="9">
        <f t="shared" ca="1" si="0"/>
        <v>-2.4066239615052474E-2</v>
      </c>
      <c r="L56" s="60">
        <f t="shared" ca="1" si="1"/>
        <v>54210.135379159598</v>
      </c>
    </row>
    <row r="57" spans="7:12">
      <c r="G57" s="60">
        <v>43</v>
      </c>
      <c r="H57" s="60">
        <v>145301.20509579859</v>
      </c>
      <c r="J57" s="3">
        <v>43</v>
      </c>
      <c r="K57" s="9">
        <f t="shared" ca="1" si="0"/>
        <v>1.4320228003796488E-2</v>
      </c>
      <c r="L57" s="60">
        <f t="shared" ca="1" si="1"/>
        <v>56000.75710590963</v>
      </c>
    </row>
    <row r="58" spans="7:12">
      <c r="G58" s="60">
        <v>44</v>
      </c>
      <c r="H58" s="60">
        <v>150727.81543684663</v>
      </c>
      <c r="J58" s="3">
        <v>44</v>
      </c>
      <c r="K58" s="9">
        <f t="shared" ca="1" si="0"/>
        <v>2.1557392393011649E-2</v>
      </c>
      <c r="L58" s="60">
        <f t="shared" ca="1" si="1"/>
        <v>58229.544793540474</v>
      </c>
    </row>
    <row r="59" spans="7:12">
      <c r="G59" s="60">
        <v>45</v>
      </c>
      <c r="H59" s="60">
        <v>164529.73220587478</v>
      </c>
      <c r="J59" s="3">
        <v>45</v>
      </c>
      <c r="K59" s="9">
        <f t="shared" ca="1" si="0"/>
        <v>1.12839869326892E-2</v>
      </c>
      <c r="L59" s="60">
        <f t="shared" ca="1" si="1"/>
        <v>59897.890203019917</v>
      </c>
    </row>
    <row r="60" spans="7:12">
      <c r="G60" s="60">
        <v>46</v>
      </c>
      <c r="H60" s="60">
        <v>159518.99255619966</v>
      </c>
      <c r="J60" s="3">
        <v>46</v>
      </c>
      <c r="K60" s="9">
        <f t="shared" ca="1" si="0"/>
        <v>5.8711834738481511E-3</v>
      </c>
      <c r="L60" s="60">
        <f t="shared" ca="1" si="1"/>
        <v>61255.432889572105</v>
      </c>
    </row>
    <row r="61" spans="7:12">
      <c r="G61" s="60">
        <v>47</v>
      </c>
      <c r="H61" s="60">
        <v>140577.26525723471</v>
      </c>
      <c r="J61" s="3">
        <v>47</v>
      </c>
      <c r="K61" s="9">
        <f t="shared" ca="1" si="0"/>
        <v>4.7817709244651119E-2</v>
      </c>
      <c r="L61" s="60">
        <f t="shared" ca="1" si="1"/>
        <v>65232.345078385559</v>
      </c>
    </row>
    <row r="62" spans="7:12">
      <c r="G62" s="60">
        <v>48</v>
      </c>
      <c r="H62" s="60">
        <v>169435.94813172068</v>
      </c>
      <c r="J62" s="3">
        <v>48</v>
      </c>
      <c r="K62" s="9">
        <f t="shared" ca="1" si="0"/>
        <v>-4.6662909248103464E-2</v>
      </c>
      <c r="L62" s="60">
        <f t="shared" ca="1" si="1"/>
        <v>63141.751170703777</v>
      </c>
    </row>
    <row r="63" spans="7:12">
      <c r="G63" s="60">
        <v>49</v>
      </c>
      <c r="H63" s="60">
        <v>164219.69422394727</v>
      </c>
      <c r="J63" s="3">
        <v>49</v>
      </c>
      <c r="K63" s="9">
        <f t="shared" ca="1" si="0"/>
        <v>-5.2086088061056184E-2</v>
      </c>
      <c r="L63" s="60">
        <f t="shared" ca="1" si="1"/>
        <v>60800.85827083615</v>
      </c>
    </row>
    <row r="64" spans="7:12">
      <c r="G64" s="60">
        <v>50</v>
      </c>
      <c r="H64" s="60">
        <v>151426.45133786419</v>
      </c>
      <c r="J64" s="3">
        <v>50</v>
      </c>
      <c r="K64" s="9">
        <f t="shared" ca="1" si="0"/>
        <v>4.9120349399576477E-2</v>
      </c>
      <c r="L64" s="60">
        <f t="shared" ca="1" si="1"/>
        <v>64836.538022293324</v>
      </c>
    </row>
    <row r="65" spans="7:12">
      <c r="G65" s="60">
        <v>51</v>
      </c>
      <c r="H65" s="60">
        <v>165871.89763406181</v>
      </c>
      <c r="J65" s="3">
        <v>51</v>
      </c>
      <c r="K65" s="9">
        <f t="shared" ca="1" si="0"/>
        <v>-1.196642290586274E-2</v>
      </c>
      <c r="L65" s="60">
        <f t="shared" ca="1" si="1"/>
        <v>65048.710165660661</v>
      </c>
    </row>
    <row r="66" spans="7:12">
      <c r="G66" s="60">
        <v>52</v>
      </c>
      <c r="H66" s="60">
        <v>204355.38546985885</v>
      </c>
      <c r="J66" s="3">
        <v>52</v>
      </c>
      <c r="K66" s="9">
        <f t="shared" ca="1" si="0"/>
        <v>1.0858661358257089E-2</v>
      </c>
      <c r="L66" s="60">
        <f t="shared" ca="1" si="1"/>
        <v>66765.91074249924</v>
      </c>
    </row>
    <row r="67" spans="7:12">
      <c r="G67" s="60">
        <v>53</v>
      </c>
      <c r="H67" s="60">
        <v>193563.25620565776</v>
      </c>
      <c r="J67" s="3">
        <v>53</v>
      </c>
      <c r="K67" s="9">
        <f t="shared" ca="1" si="0"/>
        <v>-1.0305512114589226E-2</v>
      </c>
      <c r="L67" s="60">
        <f t="shared" ca="1" si="1"/>
        <v>67067.548328386241</v>
      </c>
    </row>
    <row r="68" spans="7:12">
      <c r="G68" s="60">
        <v>54</v>
      </c>
      <c r="H68" s="60">
        <v>204969.0351688074</v>
      </c>
      <c r="J68" s="3">
        <v>54</v>
      </c>
      <c r="K68" s="9">
        <f t="shared" ca="1" si="0"/>
        <v>1.2503835692466072E-2</v>
      </c>
      <c r="L68" s="60">
        <f t="shared" ca="1" si="1"/>
        <v>68918.653768673379</v>
      </c>
    </row>
    <row r="69" spans="7:12">
      <c r="G69" s="60">
        <v>55</v>
      </c>
      <c r="H69" s="60">
        <v>140046.29154256315</v>
      </c>
      <c r="J69" s="3">
        <v>55</v>
      </c>
      <c r="K69" s="9">
        <f t="shared" ca="1" si="0"/>
        <v>-1.193542003600874E-2</v>
      </c>
      <c r="L69" s="60">
        <f t="shared" ca="1" si="1"/>
        <v>69084.145267592001</v>
      </c>
    </row>
    <row r="70" spans="7:12">
      <c r="G70" s="60">
        <v>56</v>
      </c>
      <c r="H70" s="60">
        <v>133952.74481016438</v>
      </c>
      <c r="J70" s="3">
        <v>56</v>
      </c>
      <c r="K70" s="9">
        <f t="shared" ca="1" si="0"/>
        <v>3.7470491565366297E-2</v>
      </c>
      <c r="L70" s="60">
        <f t="shared" ca="1" si="1"/>
        <v>72710.232641707218</v>
      </c>
    </row>
    <row r="71" spans="7:12">
      <c r="G71" s="60">
        <v>57</v>
      </c>
      <c r="H71" s="60">
        <v>127256.81170012063</v>
      </c>
      <c r="J71" s="3">
        <v>57</v>
      </c>
      <c r="K71" s="9">
        <f t="shared" ca="1" si="0"/>
        <v>4.4391193806809455E-2</v>
      </c>
      <c r="L71" s="60">
        <f t="shared" ca="1" si="1"/>
        <v>76982.317864450262</v>
      </c>
    </row>
    <row r="72" spans="7:12">
      <c r="G72" s="60">
        <v>58</v>
      </c>
      <c r="H72" s="60">
        <v>183544.42041039738</v>
      </c>
      <c r="J72" s="3">
        <v>58</v>
      </c>
      <c r="K72" s="9">
        <f t="shared" ca="1" si="0"/>
        <v>-2.8602393833660377E-2</v>
      </c>
      <c r="L72" s="60">
        <f t="shared" ca="1" si="1"/>
        <v>75751.836896829569</v>
      </c>
    </row>
    <row r="73" spans="7:12">
      <c r="G73" s="60">
        <v>59</v>
      </c>
      <c r="H73" s="60">
        <v>176594.45485438875</v>
      </c>
      <c r="J73" s="3">
        <v>59</v>
      </c>
      <c r="K73" s="9">
        <f t="shared" ca="1" si="0"/>
        <v>4.7655845521634458E-3</v>
      </c>
      <c r="L73" s="60">
        <f t="shared" ca="1" si="1"/>
        <v>77117.604265095273</v>
      </c>
    </row>
    <row r="74" spans="7:12">
      <c r="G74" s="60">
        <v>60</v>
      </c>
      <c r="H74" s="60">
        <v>156693.45442233697</v>
      </c>
      <c r="J74" s="3">
        <v>60</v>
      </c>
      <c r="K74" s="9">
        <f t="shared" ca="1" si="0"/>
        <v>1.1073521385489383E-2</v>
      </c>
      <c r="L74" s="60">
        <f t="shared" ca="1" si="1"/>
        <v>78982.641226508</v>
      </c>
    </row>
    <row r="75" spans="7:12">
      <c r="G75" s="60">
        <v>61</v>
      </c>
      <c r="H75" s="60">
        <v>163300.21749396349</v>
      </c>
      <c r="J75" s="3">
        <v>61</v>
      </c>
      <c r="K75" s="9">
        <f t="shared" ca="1" si="0"/>
        <v>-7.3685344639404056E-3</v>
      </c>
      <c r="L75" s="60">
        <f t="shared" ca="1" si="1"/>
        <v>79393.286378113495</v>
      </c>
    </row>
    <row r="76" spans="7:12">
      <c r="G76" s="60">
        <v>62</v>
      </c>
      <c r="H76" s="60">
        <v>170822.41939317115</v>
      </c>
      <c r="J76" s="3">
        <v>62</v>
      </c>
      <c r="K76" s="9">
        <f t="shared" ca="1" si="0"/>
        <v>1.3962235727173047E-2</v>
      </c>
      <c r="L76" s="60">
        <f t="shared" ca="1" si="1"/>
        <v>81515.75639340686</v>
      </c>
    </row>
    <row r="77" spans="7:12">
      <c r="G77" s="60">
        <v>63</v>
      </c>
      <c r="H77" s="60">
        <v>133394.93935610694</v>
      </c>
      <c r="J77" s="3">
        <v>63</v>
      </c>
      <c r="K77" s="9">
        <f t="shared" ca="1" si="0"/>
        <v>2.0844723110957876E-3</v>
      </c>
      <c r="L77" s="60">
        <f t="shared" ca="1" si="1"/>
        <v>82687.758202838042</v>
      </c>
    </row>
    <row r="78" spans="7:12">
      <c r="G78" s="60">
        <v>64</v>
      </c>
      <c r="H78" s="60">
        <v>161316.1273407792</v>
      </c>
      <c r="J78" s="3">
        <v>64</v>
      </c>
      <c r="K78" s="9">
        <f t="shared" ca="1" si="0"/>
        <v>-4.9469928523404691E-2</v>
      </c>
      <c r="L78" s="60">
        <f t="shared" ca="1" si="1"/>
        <v>79547.730786259664</v>
      </c>
    </row>
    <row r="79" spans="7:12">
      <c r="G79" s="60">
        <v>65</v>
      </c>
      <c r="H79" s="60">
        <v>130157.74624463939</v>
      </c>
      <c r="J79" s="3">
        <v>65</v>
      </c>
      <c r="K79" s="9">
        <f t="shared" ca="1" si="0"/>
        <v>-6.3753606581534493E-3</v>
      </c>
      <c r="L79" s="60">
        <f t="shared" ca="1" si="1"/>
        <v>80034.209952301404</v>
      </c>
    </row>
    <row r="80" spans="7:12">
      <c r="G80" s="60">
        <v>66</v>
      </c>
      <c r="H80" s="60">
        <v>184065.65506034749</v>
      </c>
      <c r="J80" s="3">
        <v>66</v>
      </c>
      <c r="K80" s="9">
        <f t="shared" ref="K80:K113" ca="1" si="2">_xlfn.NORM.INV(RAND(),$B$15,$B$16)</f>
        <v>1.5965624857735772E-2</v>
      </c>
      <c r="L80" s="60">
        <f t="shared" ca="1" si="1"/>
        <v>82327.971749042845</v>
      </c>
    </row>
    <row r="81" spans="7:12">
      <c r="G81" s="60">
        <v>67</v>
      </c>
      <c r="H81" s="60">
        <v>122566.94069848613</v>
      </c>
      <c r="J81" s="3">
        <v>67</v>
      </c>
      <c r="K81" s="9">
        <f t="shared" ca="1" si="2"/>
        <v>-1.2489789008552431E-2</v>
      </c>
      <c r="L81" s="60">
        <f t="shared" ca="1" si="1"/>
        <v>82287.222963386681</v>
      </c>
    </row>
    <row r="82" spans="7:12">
      <c r="G82" s="60">
        <v>68</v>
      </c>
      <c r="H82" s="60">
        <v>185020.62634509429</v>
      </c>
      <c r="J82" s="3">
        <v>68</v>
      </c>
      <c r="K82" s="9">
        <f t="shared" ca="1" si="2"/>
        <v>-1.8762592345424867E-2</v>
      </c>
      <c r="L82" s="60">
        <f t="shared" ref="L82:L113" ca="1" si="3">(L81+$B$18)*(1+K82)</f>
        <v>81724.538751342145</v>
      </c>
    </row>
    <row r="83" spans="7:12">
      <c r="G83" s="60">
        <v>69</v>
      </c>
      <c r="H83" s="60">
        <v>166751.69644527728</v>
      </c>
      <c r="J83" s="3">
        <v>69</v>
      </c>
      <c r="K83" s="9">
        <f t="shared" ca="1" si="2"/>
        <v>-9.5533594692209234E-3</v>
      </c>
      <c r="L83" s="60">
        <f t="shared" ca="1" si="3"/>
        <v>81934.241495725073</v>
      </c>
    </row>
    <row r="84" spans="7:12">
      <c r="G84" s="60">
        <v>70</v>
      </c>
      <c r="H84" s="60">
        <v>156899.32372899854</v>
      </c>
      <c r="J84" s="3">
        <v>70</v>
      </c>
      <c r="K84" s="9">
        <f t="shared" ca="1" si="2"/>
        <v>1.7436011757278963E-2</v>
      </c>
      <c r="L84" s="60">
        <f t="shared" ca="1" si="3"/>
        <v>84380.283905525546</v>
      </c>
    </row>
    <row r="85" spans="7:12">
      <c r="G85" s="60">
        <v>71</v>
      </c>
      <c r="H85" s="60">
        <v>168079.39316059835</v>
      </c>
      <c r="J85" s="3">
        <v>71</v>
      </c>
      <c r="K85" s="9">
        <f t="shared" ca="1" si="2"/>
        <v>-2.4746256375329068E-2</v>
      </c>
      <c r="L85" s="60">
        <f t="shared" ca="1" si="3"/>
        <v>83267.441510601027</v>
      </c>
    </row>
    <row r="86" spans="7:12">
      <c r="G86" s="60">
        <v>72</v>
      </c>
      <c r="H86" s="60">
        <v>162779.09474738236</v>
      </c>
      <c r="J86" s="3">
        <v>72</v>
      </c>
      <c r="K86" s="9">
        <f t="shared" ca="1" si="2"/>
        <v>3.7047107981664313E-3</v>
      </c>
      <c r="L86" s="60">
        <f t="shared" ca="1" si="3"/>
        <v>84579.628011099208</v>
      </c>
    </row>
    <row r="87" spans="7:12">
      <c r="G87" s="60">
        <v>73</v>
      </c>
      <c r="H87" s="60">
        <v>142849.39726604495</v>
      </c>
      <c r="J87" s="3">
        <v>73</v>
      </c>
      <c r="K87" s="9">
        <f t="shared" ca="1" si="2"/>
        <v>-1.0382790629417445E-2</v>
      </c>
      <c r="L87" s="60">
        <f t="shared" ca="1" si="3"/>
        <v>84691.072651316528</v>
      </c>
    </row>
    <row r="88" spans="7:12">
      <c r="G88" s="60">
        <v>74</v>
      </c>
      <c r="H88" s="60">
        <v>175508.49931676782</v>
      </c>
      <c r="J88" s="3">
        <v>74</v>
      </c>
      <c r="K88" s="9">
        <f t="shared" ca="1" si="2"/>
        <v>1.3024940685583925E-2</v>
      </c>
      <c r="L88" s="60">
        <f t="shared" ca="1" si="3"/>
        <v>86807.193789883997</v>
      </c>
    </row>
    <row r="89" spans="7:12">
      <c r="G89" s="60">
        <v>75</v>
      </c>
      <c r="H89" s="60">
        <v>128279.35520621565</v>
      </c>
      <c r="J89" s="3">
        <v>75</v>
      </c>
      <c r="K89" s="9">
        <f t="shared" ca="1" si="2"/>
        <v>4.8463100946259517E-2</v>
      </c>
      <c r="L89" s="60">
        <f t="shared" ca="1" si="3"/>
        <v>92062.602686330909</v>
      </c>
    </row>
    <row r="90" spans="7:12">
      <c r="G90" s="60">
        <v>76</v>
      </c>
      <c r="H90" s="60">
        <v>177404.44307770301</v>
      </c>
      <c r="J90" s="3">
        <v>76</v>
      </c>
      <c r="K90" s="9">
        <f t="shared" ca="1" si="2"/>
        <v>1.2248016835809772E-3</v>
      </c>
      <c r="L90" s="60">
        <f t="shared" ca="1" si="3"/>
        <v>93176.585918779558</v>
      </c>
    </row>
    <row r="91" spans="7:12">
      <c r="G91" s="60">
        <v>77</v>
      </c>
      <c r="H91" s="60">
        <v>174033.07607854545</v>
      </c>
      <c r="J91" s="3">
        <v>77</v>
      </c>
      <c r="K91" s="9">
        <f t="shared" ca="1" si="2"/>
        <v>-8.7365218061540295E-3</v>
      </c>
      <c r="L91" s="60">
        <f t="shared" ca="1" si="3"/>
        <v>93353.810122270996</v>
      </c>
    </row>
    <row r="92" spans="7:12">
      <c r="G92" s="60">
        <v>78</v>
      </c>
      <c r="H92" s="60">
        <v>154067.4092892386</v>
      </c>
      <c r="J92" s="3">
        <v>78</v>
      </c>
      <c r="K92" s="9">
        <f t="shared" ca="1" si="2"/>
        <v>2.7389830536923364E-2</v>
      </c>
      <c r="L92" s="60">
        <f t="shared" ca="1" si="3"/>
        <v>96938.144992033034</v>
      </c>
    </row>
    <row r="93" spans="7:12">
      <c r="G93" s="60">
        <v>79</v>
      </c>
      <c r="H93" s="60">
        <v>178414.93541108086</v>
      </c>
      <c r="J93" s="3">
        <v>79</v>
      </c>
      <c r="K93" s="9">
        <f t="shared" ca="1" si="2"/>
        <v>1.8502451530915884E-2</v>
      </c>
      <c r="L93" s="60">
        <f t="shared" ca="1" si="3"/>
        <v>99750.240772775927</v>
      </c>
    </row>
    <row r="94" spans="7:12">
      <c r="G94" s="60">
        <v>80</v>
      </c>
      <c r="H94" s="60">
        <v>254911.40964937652</v>
      </c>
      <c r="J94" s="3">
        <v>80</v>
      </c>
      <c r="K94" s="9">
        <f t="shared" ca="1" si="2"/>
        <v>1.291215020125441E-2</v>
      </c>
      <c r="L94" s="60">
        <f t="shared" ca="1" si="3"/>
        <v>102051.14301444656</v>
      </c>
    </row>
    <row r="95" spans="7:12">
      <c r="G95" s="60">
        <v>81</v>
      </c>
      <c r="H95" s="60">
        <v>168957.61417988798</v>
      </c>
      <c r="J95" s="3">
        <v>81</v>
      </c>
      <c r="K95" s="9">
        <f t="shared" ca="1" si="2"/>
        <v>1.8361058080391977E-2</v>
      </c>
      <c r="L95" s="60">
        <f t="shared" ca="1" si="3"/>
        <v>104943.27103658557</v>
      </c>
    </row>
    <row r="96" spans="7:12">
      <c r="G96" s="60">
        <v>82</v>
      </c>
      <c r="H96" s="60">
        <v>146779.62795636483</v>
      </c>
      <c r="J96" s="3">
        <v>82</v>
      </c>
      <c r="K96" s="9">
        <f t="shared" ca="1" si="2"/>
        <v>1.5596279914979021E-2</v>
      </c>
      <c r="L96" s="60">
        <f t="shared" ca="1" si="3"/>
        <v>107595.59194678064</v>
      </c>
    </row>
    <row r="97" spans="7:12">
      <c r="G97" s="60">
        <v>83</v>
      </c>
      <c r="H97" s="60">
        <v>244573.49348392707</v>
      </c>
      <c r="J97" s="3">
        <v>83</v>
      </c>
      <c r="K97" s="9">
        <f t="shared" ca="1" si="2"/>
        <v>3.6837845845123111E-2</v>
      </c>
      <c r="L97" s="60">
        <f t="shared" ca="1" si="3"/>
        <v>112596.01962237603</v>
      </c>
    </row>
    <row r="98" spans="7:12">
      <c r="G98" s="60">
        <v>84</v>
      </c>
      <c r="H98" s="60">
        <v>159678.88030098286</v>
      </c>
      <c r="J98" s="3">
        <v>84</v>
      </c>
      <c r="K98" s="9">
        <f t="shared" ca="1" si="2"/>
        <v>-5.2875306043181573E-2</v>
      </c>
      <c r="L98" s="60">
        <f t="shared" ca="1" si="3"/>
        <v>107589.59531955564</v>
      </c>
    </row>
    <row r="99" spans="7:12">
      <c r="G99" s="60">
        <v>85</v>
      </c>
      <c r="H99" s="60">
        <v>153442.61408321722</v>
      </c>
      <c r="J99" s="3">
        <v>85</v>
      </c>
      <c r="K99" s="9">
        <f t="shared" ca="1" si="2"/>
        <v>6.4521364510687435E-2</v>
      </c>
      <c r="L99" s="60">
        <f t="shared" ca="1" si="3"/>
        <v>115595.94418123673</v>
      </c>
    </row>
    <row r="100" spans="7:12">
      <c r="G100" s="60">
        <v>86</v>
      </c>
      <c r="H100" s="60">
        <v>185133.2099234148</v>
      </c>
      <c r="J100" s="3">
        <v>86</v>
      </c>
      <c r="K100" s="9">
        <f t="shared" ca="1" si="2"/>
        <v>-3.2610248359173791E-3</v>
      </c>
      <c r="L100" s="60">
        <f t="shared" ca="1" si="3"/>
        <v>116215.72191149447</v>
      </c>
    </row>
    <row r="101" spans="7:12">
      <c r="G101" s="60">
        <v>87</v>
      </c>
      <c r="H101" s="60">
        <v>157542.70456427921</v>
      </c>
      <c r="J101" s="3">
        <v>87</v>
      </c>
      <c r="K101" s="9">
        <f t="shared" ca="1" si="2"/>
        <v>4.2517181011887109E-3</v>
      </c>
      <c r="L101" s="60">
        <f t="shared" ca="1" si="3"/>
        <v>117714.09011808949</v>
      </c>
    </row>
    <row r="102" spans="7:12">
      <c r="G102" s="60">
        <v>88</v>
      </c>
      <c r="H102" s="60">
        <v>154985.23652520421</v>
      </c>
      <c r="J102" s="3">
        <v>88</v>
      </c>
      <c r="K102" s="9">
        <f t="shared" ca="1" si="2"/>
        <v>1.0034861482109639E-2</v>
      </c>
      <c r="L102" s="60">
        <f t="shared" ca="1" si="3"/>
        <v>119905.36956839921</v>
      </c>
    </row>
    <row r="103" spans="7:12">
      <c r="G103" s="60">
        <v>89</v>
      </c>
      <c r="H103" s="60">
        <v>154571.54201100906</v>
      </c>
      <c r="J103" s="3">
        <v>89</v>
      </c>
      <c r="K103" s="9">
        <f t="shared" ca="1" si="2"/>
        <v>1.0389403532269398E-3</v>
      </c>
      <c r="L103" s="60">
        <f t="shared" ca="1" si="3"/>
        <v>121030.98303576563</v>
      </c>
    </row>
    <row r="104" spans="7:12">
      <c r="G104" s="60">
        <v>90</v>
      </c>
      <c r="H104" s="60">
        <v>137618.79573052342</v>
      </c>
      <c r="J104" s="3">
        <v>90</v>
      </c>
      <c r="K104" s="9">
        <f t="shared" ca="1" si="2"/>
        <v>2.1409676608458023E-3</v>
      </c>
      <c r="L104" s="60">
        <f t="shared" ca="1" si="3"/>
        <v>122292.24742406642</v>
      </c>
    </row>
    <row r="105" spans="7:12">
      <c r="G105" s="60">
        <v>91</v>
      </c>
      <c r="H105" s="60">
        <v>178581.83938411527</v>
      </c>
      <c r="J105" s="3">
        <v>91</v>
      </c>
      <c r="K105" s="9">
        <f t="shared" ca="1" si="2"/>
        <v>3.3117877663421121E-2</v>
      </c>
      <c r="L105" s="60">
        <f t="shared" ca="1" si="3"/>
        <v>127375.4249911049</v>
      </c>
    </row>
    <row r="106" spans="7:12">
      <c r="G106" s="60">
        <v>92</v>
      </c>
      <c r="H106" s="60">
        <v>139632.26762850373</v>
      </c>
      <c r="J106" s="3">
        <v>92</v>
      </c>
      <c r="K106" s="9">
        <f t="shared" ca="1" si="2"/>
        <v>1.5224243182960454E-4</v>
      </c>
      <c r="L106" s="60">
        <f t="shared" ca="1" si="3"/>
        <v>128394.96917799271</v>
      </c>
    </row>
    <row r="107" spans="7:12">
      <c r="G107" s="60">
        <v>93</v>
      </c>
      <c r="H107" s="60">
        <v>263104.98985944415</v>
      </c>
      <c r="J107" s="3">
        <v>93</v>
      </c>
      <c r="K107" s="9">
        <f t="shared" ca="1" si="2"/>
        <v>-2.5751082925800483E-2</v>
      </c>
      <c r="L107" s="60">
        <f t="shared" ca="1" si="3"/>
        <v>126062.90859650882</v>
      </c>
    </row>
    <row r="108" spans="7:12">
      <c r="G108" s="60">
        <v>94</v>
      </c>
      <c r="H108" s="60">
        <v>154053.04266268865</v>
      </c>
      <c r="J108" s="3">
        <v>94</v>
      </c>
      <c r="K108" s="9">
        <f t="shared" ca="1" si="2"/>
        <v>7.4333276145036407E-3</v>
      </c>
      <c r="L108" s="60">
        <f t="shared" ca="1" si="3"/>
        <v>128007.40882375838</v>
      </c>
    </row>
    <row r="109" spans="7:12">
      <c r="G109" s="60">
        <v>95</v>
      </c>
      <c r="H109" s="60">
        <v>179442.50276757954</v>
      </c>
      <c r="J109" s="3">
        <v>95</v>
      </c>
      <c r="K109" s="9">
        <f t="shared" ca="1" si="2"/>
        <v>2.243454114226083E-2</v>
      </c>
      <c r="L109" s="60">
        <f t="shared" ca="1" si="3"/>
        <v>131901.63084467145</v>
      </c>
    </row>
    <row r="110" spans="7:12">
      <c r="G110" s="60">
        <v>96</v>
      </c>
      <c r="H110" s="60">
        <v>168907.28746768599</v>
      </c>
      <c r="J110" s="3">
        <v>96</v>
      </c>
      <c r="K110" s="9">
        <f t="shared" ca="1" si="2"/>
        <v>1.6588020568554934E-2</v>
      </c>
      <c r="L110" s="60">
        <f t="shared" ca="1" si="3"/>
        <v>135106.20583071734</v>
      </c>
    </row>
    <row r="111" spans="7:12">
      <c r="G111" s="60">
        <v>97</v>
      </c>
      <c r="H111" s="60">
        <v>149743.82798416374</v>
      </c>
      <c r="J111" s="3">
        <v>97</v>
      </c>
      <c r="K111" s="9">
        <f t="shared" ca="1" si="2"/>
        <v>3.2740437241084814E-3</v>
      </c>
      <c r="L111" s="60">
        <f t="shared" ca="1" si="3"/>
        <v>136551.82349972962</v>
      </c>
    </row>
    <row r="112" spans="7:12">
      <c r="G112" s="60">
        <v>98</v>
      </c>
      <c r="H112" s="60">
        <v>193490.73587289304</v>
      </c>
      <c r="J112" s="3">
        <v>98</v>
      </c>
      <c r="K112" s="9">
        <f t="shared" ca="1" si="2"/>
        <v>2.4081409384354262E-2</v>
      </c>
      <c r="L112" s="60">
        <f t="shared" ca="1" si="3"/>
        <v>140864.26527299103</v>
      </c>
    </row>
    <row r="113" spans="7:12">
      <c r="G113" s="60">
        <v>99</v>
      </c>
      <c r="H113" s="60">
        <v>156494.00728251747</v>
      </c>
      <c r="J113" s="3">
        <v>99</v>
      </c>
      <c r="K113" s="9">
        <f t="shared" ca="1" si="2"/>
        <v>3.9405361915076847E-2</v>
      </c>
      <c r="L113" s="60">
        <f t="shared" ca="1" si="3"/>
        <v>147454.47798888973</v>
      </c>
    </row>
    <row r="114" spans="7:12">
      <c r="G114" s="60">
        <v>100</v>
      </c>
      <c r="H114" s="60">
        <v>155291.21359114666</v>
      </c>
      <c r="J114" s="3">
        <v>100</v>
      </c>
      <c r="K114" s="9">
        <f ca="1">_xlfn.NORM.INV(RAND(),$B$15,$B$16)</f>
        <v>-3.21637060872728E-2</v>
      </c>
      <c r="L114" s="60">
        <f ca="1">(L113+$B$18)*(1+K114)</f>
        <v>143679.63179151557</v>
      </c>
    </row>
    <row r="115" spans="7:12">
      <c r="G115" s="60">
        <v>101</v>
      </c>
      <c r="H115" s="60">
        <v>182620.03889377261</v>
      </c>
      <c r="J115" s="3">
        <v>101</v>
      </c>
      <c r="K115" s="9">
        <f t="shared" ref="K115:K134" ca="1" si="4">_xlfn.NORM.INV(RAND(),$B$15,$B$16)</f>
        <v>1.937111495514331E-2</v>
      </c>
      <c r="L115" s="60">
        <f t="shared" ref="L115:L133" ca="1" si="5">(L114+$B$18)*(1+K115)</f>
        <v>147482.23757061679</v>
      </c>
    </row>
    <row r="116" spans="7:12">
      <c r="G116" s="60">
        <v>102</v>
      </c>
      <c r="H116" s="60">
        <v>169772.86529085037</v>
      </c>
      <c r="J116" s="3">
        <v>102</v>
      </c>
      <c r="K116" s="9">
        <f t="shared" ca="1" si="4"/>
        <v>3.4925417801341153E-2</v>
      </c>
      <c r="L116" s="60">
        <f t="shared" ca="1" si="5"/>
        <v>153668.04175384858</v>
      </c>
    </row>
    <row r="117" spans="7:12">
      <c r="G117" s="60">
        <v>103</v>
      </c>
      <c r="H117" s="60">
        <v>218600.35081638442</v>
      </c>
      <c r="J117" s="3">
        <v>103</v>
      </c>
      <c r="K117" s="9">
        <f t="shared" ca="1" si="4"/>
        <v>-5.4333193780567732E-3</v>
      </c>
      <c r="L117" s="60">
        <f t="shared" ca="1" si="5"/>
        <v>153827.68088542129</v>
      </c>
    </row>
    <row r="118" spans="7:12">
      <c r="G118" s="60">
        <v>104</v>
      </c>
      <c r="H118" s="60">
        <v>186486.60756791421</v>
      </c>
      <c r="J118" s="3">
        <v>104</v>
      </c>
      <c r="K118" s="9">
        <f t="shared" ca="1" si="4"/>
        <v>1.3820731099849611E-2</v>
      </c>
      <c r="L118" s="60">
        <f t="shared" ca="1" si="5"/>
        <v>156967.51262975205</v>
      </c>
    </row>
    <row r="119" spans="7:12">
      <c r="G119" s="60">
        <v>105</v>
      </c>
      <c r="H119" s="60">
        <v>98861.528325199222</v>
      </c>
      <c r="J119" s="3">
        <v>105</v>
      </c>
      <c r="K119" s="9">
        <f t="shared" ca="1" si="4"/>
        <v>-2.9905989102468337E-2</v>
      </c>
      <c r="L119" s="60">
        <f t="shared" ca="1" si="5"/>
        <v>153243.33791850266</v>
      </c>
    </row>
    <row r="120" spans="7:12">
      <c r="G120" s="60">
        <v>106</v>
      </c>
      <c r="H120" s="60">
        <v>153533.20000827679</v>
      </c>
      <c r="J120" s="3">
        <v>106</v>
      </c>
      <c r="K120" s="9">
        <f t="shared" ca="1" si="4"/>
        <v>2.6171735924718269E-2</v>
      </c>
      <c r="L120" s="60">
        <f t="shared" ca="1" si="5"/>
        <v>158280.15382665279</v>
      </c>
    </row>
    <row r="121" spans="7:12">
      <c r="G121" s="60">
        <v>107</v>
      </c>
      <c r="H121" s="60">
        <v>227327.85824433333</v>
      </c>
      <c r="J121" s="3">
        <v>107</v>
      </c>
      <c r="K121" s="9">
        <f t="shared" ca="1" si="4"/>
        <v>3.3038708902913085E-2</v>
      </c>
      <c r="L121" s="60">
        <f t="shared" ca="1" si="5"/>
        <v>164542.5644629428</v>
      </c>
    </row>
    <row r="122" spans="7:12">
      <c r="G122" s="60">
        <v>108</v>
      </c>
      <c r="H122" s="60">
        <v>147856.34239977805</v>
      </c>
      <c r="J122" s="3">
        <v>108</v>
      </c>
      <c r="K122" s="9">
        <f t="shared" ca="1" si="4"/>
        <v>2.8771276429617028E-2</v>
      </c>
      <c r="L122" s="60">
        <f t="shared" ca="1" si="5"/>
        <v>170305.43534597382</v>
      </c>
    </row>
    <row r="123" spans="7:12">
      <c r="G123" s="60">
        <v>109</v>
      </c>
      <c r="H123" s="60">
        <v>194072.46127421426</v>
      </c>
      <c r="J123" s="3">
        <v>109</v>
      </c>
      <c r="K123" s="9">
        <f t="shared" ca="1" si="4"/>
        <v>8.1184911524500719E-3</v>
      </c>
      <c r="L123" s="60">
        <f t="shared" ca="1" si="5"/>
        <v>172696.17700719673</v>
      </c>
    </row>
    <row r="124" spans="7:12">
      <c r="G124" s="60">
        <v>110</v>
      </c>
      <c r="H124" s="60">
        <v>177562.34493121449</v>
      </c>
      <c r="J124" s="3">
        <v>110</v>
      </c>
      <c r="K124" s="9">
        <f t="shared" ca="1" si="4"/>
        <v>-2.8791034934750612E-3</v>
      </c>
      <c r="L124" s="60">
        <f t="shared" ca="1" si="5"/>
        <v>173196.08773717206</v>
      </c>
    </row>
    <row r="125" spans="7:12">
      <c r="G125" s="60">
        <v>111</v>
      </c>
      <c r="H125" s="60">
        <v>119737.68998749524</v>
      </c>
      <c r="J125" s="3">
        <v>111</v>
      </c>
      <c r="K125" s="9">
        <f t="shared" ca="1" si="4"/>
        <v>-5.5991175860424111E-2</v>
      </c>
      <c r="L125" s="60">
        <f t="shared" ca="1" si="5"/>
        <v>164442.64395448219</v>
      </c>
    </row>
    <row r="126" spans="7:12">
      <c r="G126" s="60">
        <v>112</v>
      </c>
      <c r="H126" s="60">
        <v>233981.73513821879</v>
      </c>
      <c r="J126" s="3">
        <v>112</v>
      </c>
      <c r="K126" s="9">
        <f t="shared" ca="1" si="4"/>
        <v>4.7780947635379323E-2</v>
      </c>
      <c r="L126" s="60">
        <f t="shared" ca="1" si="5"/>
        <v>173347.65026193002</v>
      </c>
    </row>
    <row r="127" spans="7:12">
      <c r="G127" s="60">
        <v>113</v>
      </c>
      <c r="H127" s="60">
        <v>161304.58059060678</v>
      </c>
      <c r="J127" s="3">
        <v>113</v>
      </c>
      <c r="K127" s="9">
        <f t="shared" ca="1" si="4"/>
        <v>6.5721393736175721E-2</v>
      </c>
      <c r="L127" s="60">
        <f t="shared" ca="1" si="5"/>
        <v>185806.0208317714</v>
      </c>
    </row>
    <row r="128" spans="7:12">
      <c r="G128" s="60">
        <v>114</v>
      </c>
      <c r="H128" s="60">
        <v>196787.6754498691</v>
      </c>
      <c r="J128" s="3">
        <v>114</v>
      </c>
      <c r="K128" s="9">
        <f t="shared" ca="1" si="4"/>
        <v>-1.729015236312054E-2</v>
      </c>
      <c r="L128" s="60">
        <f t="shared" ca="1" si="5"/>
        <v>183576.11626924179</v>
      </c>
    </row>
    <row r="129" spans="7:12">
      <c r="G129" s="60">
        <v>115</v>
      </c>
      <c r="H129" s="60">
        <v>154002.05894859703</v>
      </c>
      <c r="J129" s="3">
        <v>115</v>
      </c>
      <c r="K129" s="9">
        <f t="shared" ca="1" si="4"/>
        <v>-2.6115538156940836E-2</v>
      </c>
      <c r="L129" s="60">
        <f t="shared" ca="1" si="5"/>
        <v>179755.81166195247</v>
      </c>
    </row>
    <row r="130" spans="7:12">
      <c r="G130" s="60">
        <v>116</v>
      </c>
      <c r="H130" s="60">
        <v>204830.05203867954</v>
      </c>
      <c r="J130" s="3">
        <v>116</v>
      </c>
      <c r="K130" s="9">
        <f t="shared" ca="1" si="4"/>
        <v>3.4581698243026622E-3</v>
      </c>
      <c r="L130" s="60">
        <f t="shared" ca="1" si="5"/>
        <v>181380.89595540916</v>
      </c>
    </row>
    <row r="131" spans="7:12">
      <c r="G131" s="60">
        <v>117</v>
      </c>
      <c r="H131" s="60">
        <v>154369.65663617596</v>
      </c>
      <c r="J131" s="3">
        <v>117</v>
      </c>
      <c r="K131" s="9">
        <f t="shared" ca="1" si="4"/>
        <v>-4.161903741031211E-3</v>
      </c>
      <c r="L131" s="60">
        <f t="shared" ca="1" si="5"/>
        <v>181621.84422223971</v>
      </c>
    </row>
    <row r="132" spans="7:12">
      <c r="G132" s="60">
        <v>118</v>
      </c>
      <c r="H132" s="60">
        <v>196036.81574853431</v>
      </c>
      <c r="J132" s="3">
        <v>118</v>
      </c>
      <c r="K132" s="9">
        <f t="shared" ca="1" si="4"/>
        <v>-4.5681613894084566E-2</v>
      </c>
      <c r="L132" s="60">
        <f t="shared" ca="1" si="5"/>
        <v>174279.3836458537</v>
      </c>
    </row>
    <row r="133" spans="7:12">
      <c r="G133" s="60">
        <v>119</v>
      </c>
      <c r="H133" s="60">
        <v>167492.8536402859</v>
      </c>
      <c r="J133" s="3">
        <v>119</v>
      </c>
      <c r="K133" s="9">
        <f t="shared" ca="1" si="4"/>
        <v>1.9462744909631482E-2</v>
      </c>
      <c r="L133" s="60">
        <f t="shared" ca="1" si="5"/>
        <v>178690.80157767035</v>
      </c>
    </row>
    <row r="134" spans="7:12">
      <c r="G134" s="60">
        <v>120</v>
      </c>
      <c r="H134" s="60">
        <v>185461.48097297986</v>
      </c>
      <c r="J134" s="3">
        <v>120</v>
      </c>
      <c r="K134" s="9">
        <f t="shared" ca="1" si="4"/>
        <v>7.0190440456392236E-3</v>
      </c>
      <c r="L134" s="60">
        <f ca="1">(L133+$B$18)*(1+K134)</f>
        <v>180952.05922854025</v>
      </c>
    </row>
    <row r="135" spans="7:12">
      <c r="G135" s="60">
        <v>121</v>
      </c>
      <c r="H135" s="60">
        <v>221164.9487228498</v>
      </c>
    </row>
    <row r="136" spans="7:12">
      <c r="G136" s="60">
        <v>122</v>
      </c>
      <c r="H136" s="60">
        <v>153697.34349668067</v>
      </c>
    </row>
    <row r="137" spans="7:12">
      <c r="G137" s="60">
        <v>123</v>
      </c>
      <c r="H137" s="60">
        <v>197061.07230882923</v>
      </c>
    </row>
    <row r="138" spans="7:12">
      <c r="G138" s="60">
        <v>124</v>
      </c>
      <c r="H138" s="60">
        <v>143618.28983382712</v>
      </c>
    </row>
    <row r="139" spans="7:12">
      <c r="G139" s="60">
        <v>125</v>
      </c>
      <c r="H139" s="60">
        <v>147582.38244753919</v>
      </c>
    </row>
    <row r="140" spans="7:12">
      <c r="G140" s="60">
        <v>126</v>
      </c>
      <c r="H140" s="60">
        <v>182716.06323278492</v>
      </c>
    </row>
    <row r="141" spans="7:12">
      <c r="G141" s="60">
        <v>127</v>
      </c>
      <c r="H141" s="60">
        <v>173341.51686020702</v>
      </c>
    </row>
    <row r="142" spans="7:12">
      <c r="G142" s="60">
        <v>128</v>
      </c>
      <c r="H142" s="60">
        <v>189776.60989598313</v>
      </c>
    </row>
    <row r="143" spans="7:12">
      <c r="G143" s="60">
        <v>129</v>
      </c>
      <c r="H143" s="60">
        <v>224857.18710387454</v>
      </c>
    </row>
    <row r="144" spans="7:12">
      <c r="G144" s="60">
        <v>130</v>
      </c>
      <c r="H144" s="60">
        <v>217020.92566515403</v>
      </c>
    </row>
    <row r="145" spans="7:8">
      <c r="G145" s="60">
        <v>131</v>
      </c>
      <c r="H145" s="60">
        <v>164338.10393240719</v>
      </c>
    </row>
    <row r="146" spans="7:8">
      <c r="G146" s="60">
        <v>132</v>
      </c>
      <c r="H146" s="60">
        <v>186423.85599388895</v>
      </c>
    </row>
    <row r="147" spans="7:8">
      <c r="G147" s="60">
        <v>133</v>
      </c>
      <c r="H147" s="60">
        <v>158855.59912934521</v>
      </c>
    </row>
    <row r="148" spans="7:8">
      <c r="G148" s="60">
        <v>134</v>
      </c>
      <c r="H148" s="60">
        <v>140819.47747760286</v>
      </c>
    </row>
    <row r="149" spans="7:8">
      <c r="G149" s="60">
        <v>135</v>
      </c>
      <c r="H149" s="60">
        <v>120931.77655461335</v>
      </c>
    </row>
    <row r="150" spans="7:8">
      <c r="G150" s="60">
        <v>136</v>
      </c>
      <c r="H150" s="60">
        <v>210821.44764939017</v>
      </c>
    </row>
    <row r="151" spans="7:8">
      <c r="G151" s="60">
        <v>137</v>
      </c>
      <c r="H151" s="60">
        <v>126308.98827523353</v>
      </c>
    </row>
    <row r="152" spans="7:8">
      <c r="G152" s="60">
        <v>138</v>
      </c>
      <c r="H152" s="60">
        <v>171491.96369729916</v>
      </c>
    </row>
    <row r="153" spans="7:8">
      <c r="G153" s="60">
        <v>139</v>
      </c>
      <c r="H153" s="60">
        <v>152947.39516445866</v>
      </c>
    </row>
    <row r="154" spans="7:8">
      <c r="G154" s="60">
        <v>140</v>
      </c>
      <c r="H154" s="60">
        <v>194463.42923134239</v>
      </c>
    </row>
    <row r="155" spans="7:8">
      <c r="G155" s="60">
        <v>141</v>
      </c>
      <c r="H155" s="60">
        <v>194924.19817374737</v>
      </c>
    </row>
    <row r="156" spans="7:8">
      <c r="G156" s="60">
        <v>142</v>
      </c>
      <c r="H156" s="60">
        <v>189445.06441522561</v>
      </c>
    </row>
    <row r="157" spans="7:8">
      <c r="G157" s="60">
        <v>143</v>
      </c>
      <c r="H157" s="60">
        <v>197405.06576439689</v>
      </c>
    </row>
    <row r="158" spans="7:8">
      <c r="G158" s="60">
        <v>144</v>
      </c>
      <c r="H158" s="60">
        <v>207659.85631090979</v>
      </c>
    </row>
    <row r="159" spans="7:8">
      <c r="G159" s="60">
        <v>145</v>
      </c>
      <c r="H159" s="60">
        <v>205232.86294829429</v>
      </c>
    </row>
    <row r="160" spans="7:8">
      <c r="G160" s="60">
        <v>146</v>
      </c>
      <c r="H160" s="60">
        <v>187075.19786333715</v>
      </c>
    </row>
    <row r="161" spans="7:8">
      <c r="G161" s="60">
        <v>147</v>
      </c>
      <c r="H161" s="60">
        <v>202186.82488845108</v>
      </c>
    </row>
    <row r="162" spans="7:8">
      <c r="G162" s="60">
        <v>148</v>
      </c>
      <c r="H162" s="60">
        <v>146160.71550817337</v>
      </c>
    </row>
    <row r="163" spans="7:8">
      <c r="G163" s="60">
        <v>149</v>
      </c>
      <c r="H163" s="60">
        <v>216177.82913976978</v>
      </c>
    </row>
    <row r="164" spans="7:8">
      <c r="G164" s="60">
        <v>150</v>
      </c>
      <c r="H164" s="60">
        <v>167546.73889960855</v>
      </c>
    </row>
    <row r="165" spans="7:8">
      <c r="G165" s="60">
        <v>151</v>
      </c>
      <c r="H165" s="60">
        <v>166510.08689267476</v>
      </c>
    </row>
    <row r="166" spans="7:8">
      <c r="G166" s="60">
        <v>152</v>
      </c>
      <c r="H166" s="60">
        <v>171808.834891818</v>
      </c>
    </row>
    <row r="167" spans="7:8">
      <c r="G167" s="60">
        <v>153</v>
      </c>
      <c r="H167" s="60">
        <v>186678.0234641291</v>
      </c>
    </row>
    <row r="168" spans="7:8">
      <c r="G168" s="60">
        <v>154</v>
      </c>
      <c r="H168" s="60">
        <v>165532.39202352046</v>
      </c>
    </row>
    <row r="169" spans="7:8">
      <c r="G169" s="60">
        <v>155</v>
      </c>
      <c r="H169" s="60">
        <v>232519.56286466372</v>
      </c>
    </row>
    <row r="170" spans="7:8">
      <c r="G170" s="60">
        <v>156</v>
      </c>
      <c r="H170" s="60">
        <v>152508.19805312858</v>
      </c>
    </row>
    <row r="171" spans="7:8">
      <c r="G171" s="60">
        <v>157</v>
      </c>
      <c r="H171" s="60">
        <v>145183.31154218831</v>
      </c>
    </row>
    <row r="172" spans="7:8">
      <c r="G172" s="60">
        <v>158</v>
      </c>
      <c r="H172" s="60">
        <v>232968.12231147083</v>
      </c>
    </row>
    <row r="173" spans="7:8">
      <c r="G173" s="60">
        <v>159</v>
      </c>
      <c r="H173" s="60">
        <v>141461.19982172974</v>
      </c>
    </row>
    <row r="174" spans="7:8">
      <c r="G174" s="60">
        <v>160</v>
      </c>
      <c r="H174" s="60">
        <v>178538.15356455118</v>
      </c>
    </row>
    <row r="175" spans="7:8">
      <c r="G175" s="60">
        <v>161</v>
      </c>
      <c r="H175" s="60">
        <v>204581.45864028652</v>
      </c>
    </row>
    <row r="176" spans="7:8">
      <c r="G176" s="60">
        <v>162</v>
      </c>
      <c r="H176" s="60">
        <v>153954.20406501798</v>
      </c>
    </row>
    <row r="177" spans="7:8">
      <c r="G177" s="60">
        <v>163</v>
      </c>
      <c r="H177" s="60">
        <v>186870.3814950152</v>
      </c>
    </row>
    <row r="178" spans="7:8">
      <c r="G178" s="60">
        <v>164</v>
      </c>
      <c r="H178" s="60">
        <v>175303.21653771101</v>
      </c>
    </row>
    <row r="179" spans="7:8">
      <c r="G179" s="60">
        <v>165</v>
      </c>
      <c r="H179" s="60">
        <v>316293.38861758506</v>
      </c>
    </row>
    <row r="180" spans="7:8">
      <c r="G180" s="60">
        <v>166</v>
      </c>
      <c r="H180" s="60">
        <v>157580.06114635241</v>
      </c>
    </row>
    <row r="181" spans="7:8">
      <c r="G181" s="60">
        <v>167</v>
      </c>
      <c r="H181" s="60">
        <v>178680.40524087023</v>
      </c>
    </row>
    <row r="182" spans="7:8">
      <c r="G182" s="60">
        <v>168</v>
      </c>
      <c r="H182" s="60">
        <v>209918.29056078129</v>
      </c>
    </row>
    <row r="183" spans="7:8">
      <c r="G183" s="60">
        <v>169</v>
      </c>
      <c r="H183" s="60">
        <v>135980.37173153178</v>
      </c>
    </row>
    <row r="184" spans="7:8">
      <c r="G184" s="60">
        <v>170</v>
      </c>
      <c r="H184" s="60">
        <v>201631.38897304173</v>
      </c>
    </row>
    <row r="185" spans="7:8">
      <c r="G185" s="60">
        <v>171</v>
      </c>
      <c r="H185" s="60">
        <v>137167.54723208805</v>
      </c>
    </row>
    <row r="186" spans="7:8">
      <c r="G186" s="60">
        <v>172</v>
      </c>
      <c r="H186" s="60">
        <v>203207.92737954186</v>
      </c>
    </row>
    <row r="187" spans="7:8">
      <c r="G187" s="60">
        <v>173</v>
      </c>
      <c r="H187" s="60">
        <v>148679.2763192188</v>
      </c>
    </row>
    <row r="188" spans="7:8">
      <c r="G188" s="60">
        <v>174</v>
      </c>
      <c r="H188" s="60">
        <v>216258.76817163426</v>
      </c>
    </row>
    <row r="189" spans="7:8">
      <c r="G189" s="60">
        <v>175</v>
      </c>
      <c r="H189" s="60">
        <v>225270.53392088693</v>
      </c>
    </row>
    <row r="190" spans="7:8">
      <c r="G190" s="60">
        <v>176</v>
      </c>
      <c r="H190" s="60">
        <v>202693.85036106943</v>
      </c>
    </row>
    <row r="191" spans="7:8">
      <c r="G191" s="60">
        <v>177</v>
      </c>
      <c r="H191" s="60">
        <v>167932.61113420868</v>
      </c>
    </row>
    <row r="192" spans="7:8">
      <c r="G192" s="60">
        <v>178</v>
      </c>
      <c r="H192" s="60">
        <v>131197.24510007718</v>
      </c>
    </row>
    <row r="193" spans="7:8">
      <c r="G193" s="60">
        <v>179</v>
      </c>
      <c r="H193" s="60">
        <v>153591.10391148445</v>
      </c>
    </row>
    <row r="194" spans="7:8">
      <c r="G194" s="60">
        <v>180</v>
      </c>
      <c r="H194" s="60">
        <v>251134.23704799416</v>
      </c>
    </row>
    <row r="195" spans="7:8">
      <c r="G195" s="60">
        <v>181</v>
      </c>
      <c r="H195" s="60">
        <v>170356.17981132027</v>
      </c>
    </row>
    <row r="196" spans="7:8">
      <c r="G196" s="60">
        <v>182</v>
      </c>
      <c r="H196" s="60">
        <v>180053.21869915293</v>
      </c>
    </row>
    <row r="197" spans="7:8">
      <c r="G197" s="60">
        <v>183</v>
      </c>
      <c r="H197" s="60">
        <v>162665.58398671061</v>
      </c>
    </row>
    <row r="198" spans="7:8">
      <c r="G198" s="60">
        <v>184</v>
      </c>
      <c r="H198" s="60">
        <v>158749.43515244941</v>
      </c>
    </row>
    <row r="199" spans="7:8">
      <c r="G199" s="60">
        <v>185</v>
      </c>
      <c r="H199" s="60">
        <v>162420.45646901979</v>
      </c>
    </row>
    <row r="200" spans="7:8">
      <c r="G200" s="60">
        <v>186</v>
      </c>
      <c r="H200" s="60">
        <v>198859.94111914022</v>
      </c>
    </row>
    <row r="201" spans="7:8">
      <c r="G201" s="60">
        <v>187</v>
      </c>
      <c r="H201" s="60">
        <v>189421.25269626491</v>
      </c>
    </row>
    <row r="202" spans="7:8">
      <c r="G202" s="60">
        <v>188</v>
      </c>
      <c r="H202" s="60">
        <v>160957.88630583786</v>
      </c>
    </row>
    <row r="203" spans="7:8">
      <c r="G203" s="60">
        <v>189</v>
      </c>
      <c r="H203" s="60">
        <v>136575.76071650046</v>
      </c>
    </row>
    <row r="204" spans="7:8">
      <c r="G204" s="60">
        <v>190</v>
      </c>
      <c r="H204" s="60">
        <v>172807.54881366735</v>
      </c>
    </row>
    <row r="205" spans="7:8">
      <c r="G205" s="60">
        <v>191</v>
      </c>
      <c r="H205" s="60">
        <v>179016.46276958086</v>
      </c>
    </row>
    <row r="206" spans="7:8">
      <c r="G206" s="60">
        <v>192</v>
      </c>
      <c r="H206" s="60">
        <v>164509.69223524875</v>
      </c>
    </row>
    <row r="207" spans="7:8">
      <c r="G207" s="60">
        <v>193</v>
      </c>
      <c r="H207" s="60">
        <v>150355.99040985774</v>
      </c>
    </row>
    <row r="208" spans="7:8">
      <c r="G208" s="60">
        <v>194</v>
      </c>
      <c r="H208" s="60">
        <v>235452.71483648699</v>
      </c>
    </row>
    <row r="209" spans="7:8">
      <c r="G209" s="60">
        <v>195</v>
      </c>
      <c r="H209" s="60">
        <v>143027.06280097185</v>
      </c>
    </row>
    <row r="210" spans="7:8">
      <c r="G210" s="60">
        <v>196</v>
      </c>
      <c r="H210" s="60">
        <v>153814.71471911657</v>
      </c>
    </row>
    <row r="211" spans="7:8">
      <c r="G211" s="60">
        <v>197</v>
      </c>
      <c r="H211" s="60">
        <v>162396.46700804587</v>
      </c>
    </row>
    <row r="212" spans="7:8">
      <c r="G212" s="60">
        <v>198</v>
      </c>
      <c r="H212" s="60">
        <v>202011.32008538797</v>
      </c>
    </row>
    <row r="213" spans="7:8">
      <c r="G213" s="60">
        <v>199</v>
      </c>
      <c r="H213" s="60">
        <v>229959.35271109318</v>
      </c>
    </row>
    <row r="214" spans="7:8">
      <c r="G214" s="60">
        <v>200</v>
      </c>
      <c r="H214" s="60">
        <v>160724.65604323155</v>
      </c>
    </row>
    <row r="215" spans="7:8">
      <c r="G215" s="71"/>
    </row>
    <row r="216" spans="7:8">
      <c r="G216" s="71"/>
    </row>
    <row r="217" spans="7:8">
      <c r="G217" s="71"/>
    </row>
    <row r="218" spans="7:8">
      <c r="G218" s="71"/>
    </row>
    <row r="219" spans="7:8">
      <c r="G219" s="71"/>
    </row>
    <row r="220" spans="7:8">
      <c r="G220" s="71"/>
    </row>
    <row r="221" spans="7:8">
      <c r="G221" s="71"/>
    </row>
    <row r="222" spans="7:8">
      <c r="G222" s="71"/>
    </row>
    <row r="223" spans="7:8">
      <c r="G223" s="71"/>
    </row>
    <row r="224" spans="7:8">
      <c r="G224" s="71"/>
    </row>
    <row r="225" spans="7:7">
      <c r="G225" s="71"/>
    </row>
    <row r="226" spans="7:7">
      <c r="G226" s="71"/>
    </row>
    <row r="227" spans="7:7">
      <c r="G227" s="71"/>
    </row>
    <row r="228" spans="7:7">
      <c r="G228" s="71"/>
    </row>
    <row r="229" spans="7:7">
      <c r="G229" s="71"/>
    </row>
    <row r="230" spans="7:7">
      <c r="G230" s="71"/>
    </row>
    <row r="231" spans="7:7">
      <c r="G231" s="71"/>
    </row>
    <row r="232" spans="7:7">
      <c r="G232" s="71"/>
    </row>
    <row r="233" spans="7:7">
      <c r="G233" s="71"/>
    </row>
    <row r="234" spans="7:7">
      <c r="G234" s="71"/>
    </row>
    <row r="235" spans="7:7">
      <c r="G235" s="71"/>
    </row>
    <row r="236" spans="7:7">
      <c r="G236" s="71"/>
    </row>
    <row r="237" spans="7:7">
      <c r="G237" s="71"/>
    </row>
    <row r="238" spans="7:7">
      <c r="G238" s="71"/>
    </row>
    <row r="239" spans="7:7">
      <c r="G239" s="71"/>
    </row>
    <row r="240" spans="7:7">
      <c r="G240" s="71"/>
    </row>
    <row r="241" spans="7:7">
      <c r="G241" s="71"/>
    </row>
    <row r="242" spans="7:7">
      <c r="G242" s="71"/>
    </row>
    <row r="243" spans="7:7">
      <c r="G243" s="71"/>
    </row>
    <row r="244" spans="7:7">
      <c r="G244" s="71"/>
    </row>
    <row r="245" spans="7:7">
      <c r="G245" s="7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DD45E-FF37-034B-9143-3463B750529C}">
  <dimension ref="A1:Q45"/>
  <sheetViews>
    <sheetView zoomScale="115" workbookViewId="0">
      <selection activeCell="L10" sqref="L10"/>
    </sheetView>
  </sheetViews>
  <sheetFormatPr baseColWidth="10" defaultRowHeight="16"/>
  <cols>
    <col min="1" max="1" width="12.6640625" bestFit="1" customWidth="1"/>
    <col min="2" max="2" width="24.33203125" bestFit="1" customWidth="1"/>
    <col min="3" max="3" width="35.6640625" customWidth="1"/>
    <col min="4" max="4" width="15.83203125" bestFit="1" customWidth="1"/>
    <col min="5" max="5" width="56.1640625" bestFit="1" customWidth="1"/>
    <col min="6" max="6" width="7.33203125" bestFit="1" customWidth="1"/>
    <col min="7" max="7" width="8.33203125" bestFit="1" customWidth="1"/>
    <col min="8" max="8" width="13.1640625" bestFit="1" customWidth="1"/>
    <col min="9" max="9" width="12.83203125" bestFit="1" customWidth="1"/>
    <col min="10" max="10" width="15.83203125" bestFit="1" customWidth="1"/>
    <col min="11" max="11" width="23" bestFit="1" customWidth="1"/>
    <col min="12" max="12" width="16" bestFit="1" customWidth="1"/>
    <col min="13" max="13" width="16.83203125" bestFit="1" customWidth="1"/>
    <col min="14" max="14" width="6" bestFit="1" customWidth="1"/>
    <col min="15" max="15" width="9.1640625" bestFit="1" customWidth="1"/>
    <col min="16" max="16" width="51.33203125" bestFit="1" customWidth="1"/>
    <col min="17" max="17" width="78.6640625" bestFit="1" customWidth="1"/>
  </cols>
  <sheetData>
    <row r="1" spans="1:17">
      <c r="A1" s="37" t="s">
        <v>183</v>
      </c>
      <c r="B1" s="38" t="s">
        <v>184</v>
      </c>
      <c r="C1" s="38" t="s">
        <v>185</v>
      </c>
      <c r="D1" s="38" t="s">
        <v>265</v>
      </c>
      <c r="E1" s="38" t="s">
        <v>186</v>
      </c>
      <c r="F1" s="38" t="s">
        <v>187</v>
      </c>
      <c r="G1" s="38" t="s">
        <v>188</v>
      </c>
      <c r="H1" s="38" t="s">
        <v>189</v>
      </c>
      <c r="I1" s="38" t="s">
        <v>190</v>
      </c>
      <c r="J1" s="38" t="s">
        <v>191</v>
      </c>
      <c r="K1" s="38" t="s">
        <v>192</v>
      </c>
      <c r="L1" s="38" t="s">
        <v>193</v>
      </c>
      <c r="M1" s="38" t="s">
        <v>194</v>
      </c>
      <c r="N1" s="38" t="s">
        <v>195</v>
      </c>
      <c r="O1" s="38" t="s">
        <v>196</v>
      </c>
      <c r="P1" s="38" t="s">
        <v>197</v>
      </c>
      <c r="Q1" s="38" t="s">
        <v>0</v>
      </c>
    </row>
    <row r="3" spans="1:17">
      <c r="B3" s="39" t="s">
        <v>198</v>
      </c>
    </row>
    <row r="4" spans="1:17">
      <c r="C4" s="3" t="s">
        <v>199</v>
      </c>
      <c r="D4" s="3" t="s">
        <v>200</v>
      </c>
      <c r="E4" s="40" t="s">
        <v>201</v>
      </c>
      <c r="F4" s="3" t="s">
        <v>202</v>
      </c>
      <c r="G4" s="3" t="s">
        <v>203</v>
      </c>
      <c r="H4" s="3" t="s">
        <v>204</v>
      </c>
      <c r="I4" s="10">
        <v>2.9999999999999997E-4</v>
      </c>
      <c r="J4" s="10">
        <v>0.04</v>
      </c>
      <c r="K4" s="10">
        <v>5.3999999999999999E-2</v>
      </c>
      <c r="L4" s="3"/>
      <c r="M4" s="3"/>
      <c r="N4" s="3"/>
      <c r="O4" s="3"/>
      <c r="P4" s="3" t="s">
        <v>205</v>
      </c>
      <c r="Q4" s="3"/>
    </row>
    <row r="5" spans="1:17">
      <c r="C5" s="3" t="s">
        <v>238</v>
      </c>
      <c r="D5" s="3" t="s">
        <v>200</v>
      </c>
      <c r="E5" s="40" t="s">
        <v>206</v>
      </c>
      <c r="F5" s="3" t="s">
        <v>207</v>
      </c>
      <c r="G5" s="3" t="s">
        <v>203</v>
      </c>
      <c r="H5" s="3" t="s">
        <v>208</v>
      </c>
      <c r="I5" s="10">
        <v>5.0000000000000001E-4</v>
      </c>
      <c r="J5" s="19">
        <v>0.28999999999999998</v>
      </c>
      <c r="K5" s="10">
        <v>3.8E-3</v>
      </c>
      <c r="L5" s="3"/>
      <c r="M5" s="3"/>
      <c r="N5" s="3"/>
      <c r="O5" s="3"/>
      <c r="P5" s="3" t="s">
        <v>209</v>
      </c>
      <c r="Q5" s="3" t="s">
        <v>247</v>
      </c>
    </row>
    <row r="6" spans="1:17">
      <c r="C6" s="3" t="s">
        <v>210</v>
      </c>
      <c r="D6" s="3" t="s">
        <v>211</v>
      </c>
      <c r="E6" s="40" t="s">
        <v>212</v>
      </c>
      <c r="F6" s="3" t="s">
        <v>213</v>
      </c>
      <c r="G6" s="3" t="s">
        <v>203</v>
      </c>
      <c r="H6" s="3" t="s">
        <v>214</v>
      </c>
      <c r="I6" s="10">
        <v>1.9E-3</v>
      </c>
      <c r="J6" s="19">
        <v>0.17</v>
      </c>
      <c r="K6" s="10">
        <v>5.4999999999999997E-3</v>
      </c>
      <c r="L6" s="3"/>
      <c r="M6" s="3"/>
      <c r="N6" s="3"/>
      <c r="O6" s="3"/>
      <c r="P6" s="3" t="s">
        <v>215</v>
      </c>
    </row>
    <row r="7" spans="1:17">
      <c r="E7" s="41"/>
      <c r="I7" s="2"/>
      <c r="J7" s="42"/>
    </row>
    <row r="9" spans="1:17">
      <c r="B9" s="39" t="s">
        <v>216</v>
      </c>
    </row>
    <row r="10" spans="1:17">
      <c r="C10" s="3" t="s">
        <v>199</v>
      </c>
      <c r="D10" s="3" t="s">
        <v>200</v>
      </c>
      <c r="E10" s="40" t="s">
        <v>217</v>
      </c>
      <c r="F10" s="3" t="s">
        <v>218</v>
      </c>
      <c r="G10" s="3" t="s">
        <v>203</v>
      </c>
      <c r="H10" s="3" t="s">
        <v>68</v>
      </c>
      <c r="I10" s="10">
        <v>8.0000000000000004E-4</v>
      </c>
      <c r="J10" s="10">
        <v>0.03</v>
      </c>
      <c r="K10" s="10">
        <v>5.8400000000000001E-2</v>
      </c>
      <c r="L10" s="3"/>
      <c r="M10" s="3"/>
      <c r="N10" s="3"/>
      <c r="O10" s="3"/>
      <c r="P10" s="3" t="s">
        <v>219</v>
      </c>
      <c r="Q10" s="3"/>
    </row>
    <row r="11" spans="1:17">
      <c r="C11" s="3"/>
      <c r="D11" s="3"/>
      <c r="E11" s="3"/>
      <c r="F11" s="3"/>
      <c r="G11" s="3"/>
      <c r="H11" s="3"/>
      <c r="I11" s="3"/>
      <c r="J11" s="3"/>
      <c r="K11" s="3"/>
      <c r="L11" s="3"/>
      <c r="M11" s="3"/>
      <c r="N11" s="3"/>
      <c r="O11" s="3"/>
      <c r="P11" s="3"/>
      <c r="Q11" s="3"/>
    </row>
    <row r="14" spans="1:17">
      <c r="B14" s="39" t="s">
        <v>220</v>
      </c>
    </row>
    <row r="15" spans="1:17">
      <c r="C15" s="3" t="s">
        <v>199</v>
      </c>
      <c r="D15" s="3" t="s">
        <v>200</v>
      </c>
      <c r="E15" s="40" t="s">
        <v>221</v>
      </c>
      <c r="F15" s="3" t="s">
        <v>222</v>
      </c>
      <c r="G15" s="3" t="s">
        <v>203</v>
      </c>
      <c r="H15" s="3" t="s">
        <v>86</v>
      </c>
      <c r="I15" s="10">
        <v>8.0000000000000004E-4</v>
      </c>
      <c r="J15" s="10">
        <v>3.9E-2</v>
      </c>
      <c r="K15" s="10">
        <v>6.0499999999999998E-2</v>
      </c>
      <c r="L15" s="3"/>
      <c r="M15" s="3"/>
      <c r="N15" s="3"/>
      <c r="O15" s="3"/>
      <c r="P15" s="3" t="s">
        <v>223</v>
      </c>
      <c r="Q15" s="3"/>
    </row>
    <row r="16" spans="1:17">
      <c r="C16" s="3"/>
      <c r="D16" s="3"/>
      <c r="E16" s="3"/>
      <c r="F16" s="3"/>
      <c r="G16" s="3"/>
      <c r="H16" s="3"/>
      <c r="I16" s="3"/>
      <c r="J16" s="3"/>
      <c r="K16" s="3"/>
      <c r="L16" s="3"/>
      <c r="M16" s="3"/>
      <c r="N16" s="3"/>
      <c r="O16" s="3"/>
      <c r="P16" s="3"/>
      <c r="Q16" s="3"/>
    </row>
    <row r="19" spans="2:17">
      <c r="B19" s="39" t="s">
        <v>224</v>
      </c>
    </row>
    <row r="20" spans="2:17">
      <c r="C20" s="3" t="s">
        <v>199</v>
      </c>
      <c r="D20" s="3" t="s">
        <v>200</v>
      </c>
      <c r="E20" s="40" t="s">
        <v>225</v>
      </c>
      <c r="F20" s="3" t="s">
        <v>226</v>
      </c>
      <c r="G20" s="3" t="s">
        <v>203</v>
      </c>
      <c r="H20" s="3" t="s">
        <v>102</v>
      </c>
      <c r="I20" s="10">
        <v>1E-3</v>
      </c>
      <c r="J20" s="10">
        <v>8.8999999999999996E-2</v>
      </c>
      <c r="K20" s="10">
        <v>7.9799999999999996E-2</v>
      </c>
      <c r="L20" s="3"/>
      <c r="M20" s="3"/>
      <c r="N20" s="3"/>
      <c r="O20" s="3"/>
      <c r="P20" s="3" t="s">
        <v>227</v>
      </c>
      <c r="Q20" s="3"/>
    </row>
    <row r="21" spans="2:17">
      <c r="C21" s="3"/>
      <c r="D21" s="3"/>
      <c r="E21" s="3"/>
      <c r="F21" s="3"/>
      <c r="G21" s="3"/>
      <c r="H21" s="3"/>
      <c r="I21" s="3"/>
      <c r="J21" s="3"/>
      <c r="K21" s="3"/>
      <c r="L21" s="3"/>
      <c r="M21" s="3"/>
      <c r="N21" s="3"/>
      <c r="O21" s="3"/>
      <c r="P21" s="3"/>
      <c r="Q21" s="3"/>
    </row>
    <row r="23" spans="2:17">
      <c r="B23" s="39" t="s">
        <v>228</v>
      </c>
    </row>
    <row r="24" spans="2:17">
      <c r="C24" s="3" t="s">
        <v>199</v>
      </c>
      <c r="D24" s="3" t="s">
        <v>200</v>
      </c>
      <c r="E24" s="40" t="s">
        <v>229</v>
      </c>
      <c r="F24" s="3" t="s">
        <v>230</v>
      </c>
      <c r="G24" s="3" t="s">
        <v>203</v>
      </c>
      <c r="H24" s="3" t="s">
        <v>121</v>
      </c>
      <c r="I24" s="10">
        <v>5.0000000000000001E-4</v>
      </c>
      <c r="J24" s="10">
        <v>0.02</v>
      </c>
      <c r="K24" s="10">
        <v>5.5800000000000002E-2</v>
      </c>
      <c r="L24" s="3"/>
      <c r="M24" s="3"/>
      <c r="N24" s="3"/>
      <c r="O24" s="3"/>
      <c r="P24" s="3" t="s">
        <v>231</v>
      </c>
      <c r="Q24" s="3" t="s">
        <v>349</v>
      </c>
    </row>
    <row r="25" spans="2:17">
      <c r="C25" s="3" t="s">
        <v>239</v>
      </c>
      <c r="D25" s="3" t="s">
        <v>266</v>
      </c>
      <c r="E25" s="40" t="s">
        <v>241</v>
      </c>
      <c r="F25" s="3" t="s">
        <v>240</v>
      </c>
      <c r="G25" s="3" t="s">
        <v>203</v>
      </c>
      <c r="H25" s="3" t="s">
        <v>242</v>
      </c>
      <c r="I25" s="10">
        <v>3.5000000000000001E-3</v>
      </c>
      <c r="J25" s="10">
        <v>0</v>
      </c>
      <c r="K25" s="10">
        <v>1.8499999999999999E-2</v>
      </c>
      <c r="L25" s="3"/>
      <c r="M25" s="3"/>
      <c r="N25" s="3"/>
      <c r="O25" s="3"/>
      <c r="P25" s="3" t="s">
        <v>246</v>
      </c>
      <c r="Q25" s="3"/>
    </row>
    <row r="26" spans="2:17">
      <c r="C26" s="3" t="s">
        <v>259</v>
      </c>
      <c r="D26" s="3" t="s">
        <v>266</v>
      </c>
      <c r="E26" s="40" t="s">
        <v>260</v>
      </c>
      <c r="F26" s="3" t="s">
        <v>261</v>
      </c>
      <c r="G26" s="3" t="s">
        <v>203</v>
      </c>
      <c r="H26" s="3" t="s">
        <v>263</v>
      </c>
      <c r="I26" s="10">
        <v>5.0000000000000001E-3</v>
      </c>
      <c r="J26" s="10">
        <v>0</v>
      </c>
      <c r="K26" s="10"/>
      <c r="L26" s="3"/>
      <c r="M26" s="3"/>
      <c r="N26" s="3"/>
      <c r="O26" s="3"/>
      <c r="P26" s="3" t="s">
        <v>262</v>
      </c>
    </row>
    <row r="35" spans="2:3">
      <c r="B35" t="s">
        <v>232</v>
      </c>
      <c r="C35" t="s">
        <v>233</v>
      </c>
    </row>
    <row r="37" spans="2:3">
      <c r="B37" t="s">
        <v>350</v>
      </c>
    </row>
    <row r="38" spans="2:3">
      <c r="B38" t="s">
        <v>381</v>
      </c>
    </row>
    <row r="39" spans="2:3">
      <c r="B39" t="s">
        <v>382</v>
      </c>
    </row>
    <row r="40" spans="2:3">
      <c r="B40" t="s">
        <v>383</v>
      </c>
    </row>
    <row r="41" spans="2:3">
      <c r="B41" t="s">
        <v>362</v>
      </c>
    </row>
    <row r="42" spans="2:3">
      <c r="B42" t="s">
        <v>369</v>
      </c>
    </row>
    <row r="43" spans="2:3">
      <c r="B43" t="s">
        <v>363</v>
      </c>
    </row>
    <row r="44" spans="2:3">
      <c r="B44" t="s">
        <v>413</v>
      </c>
    </row>
    <row r="45" spans="2:3">
      <c r="B45" t="s">
        <v>425</v>
      </c>
    </row>
  </sheetData>
  <hyperlinks>
    <hyperlink ref="E4" location="VTI!A1" display="Vanguard Total Stock Market Index Fund ETF Shares (VTI)" xr:uid="{8381976B-9DC2-004E-A792-04F606DB8D90}"/>
    <hyperlink ref="E10" location="VGK!A1" display="Vanguard FTSE Europe ETF" xr:uid="{A306F32B-F410-5A4E-83EA-BBBD564F0257}"/>
    <hyperlink ref="E15" location="VPL!A1" display="Vanguard FTSE Pacific ETF" xr:uid="{DBCDFBDA-EC72-894B-8E02-D9861BD90F72}"/>
    <hyperlink ref="E20" location="VWO!A1" display="Vanguard FTSE Emerging Markets ETF" xr:uid="{21C52911-507D-6B48-A34D-8B71B6AE8A9C}"/>
    <hyperlink ref="E24" location="VEA!A1" display="Vanguard FTSE Developed Markets ETF " xr:uid="{34546D90-0158-9047-BF5F-45029AF9772A}"/>
    <hyperlink ref="E5" location="VGIT!A1" display="Vanguard Intermediate-Term Treasury ETF" xr:uid="{76BFA81F-AC53-2E4F-B2F1-C5A8D607DED0}"/>
    <hyperlink ref="E6" location="TIP!A1" display="iShares TIPS Bond ETF" xr:uid="{064A09AD-50F4-1B46-9E4E-C66B6CE8036D}"/>
    <hyperlink ref="E25" location="BWX!A1" display="SPDR Bloomberg Barclays International Treasury Bond ETF (BWX)" xr:uid="{552D62B4-5275-544A-BCFD-900872C6A840}"/>
    <hyperlink ref="E26" location="WIP!A1" display="SPDR FTSE International Government Inflation-Protected Bond ETF" xr:uid="{B4388A9D-9677-AA45-A655-04B0A3AAD07A}"/>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76AF6-8185-004C-91AF-8E42B0E1F7FA}">
  <dimension ref="A1:Y240"/>
  <sheetViews>
    <sheetView workbookViewId="0">
      <pane ySplit="11" topLeftCell="A12" activePane="bottomLeft" state="frozen"/>
      <selection pane="bottomLeft" activeCell="F24" sqref="F24"/>
    </sheetView>
  </sheetViews>
  <sheetFormatPr baseColWidth="10" defaultRowHeight="16"/>
  <cols>
    <col min="1" max="1" width="19" customWidth="1"/>
    <col min="2" max="2" width="23.33203125" customWidth="1"/>
    <col min="10" max="10" width="21.1640625" bestFit="1" customWidth="1"/>
    <col min="11" max="11" width="14.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2.9999999999999997E-4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11</v>
      </c>
      <c r="B3" s="8" t="s">
        <v>12</v>
      </c>
      <c r="C3" s="1"/>
      <c r="E3" s="1"/>
      <c r="F3" s="1"/>
      <c r="G3" s="9" t="s">
        <v>13</v>
      </c>
      <c r="H3" s="9">
        <f>SUBTOTAL(1,C13:C241)</f>
        <v>6.968737347050542E-3</v>
      </c>
      <c r="J3" s="3" t="s">
        <v>14</v>
      </c>
      <c r="K3" s="10">
        <v>3.2124206419445807E-2</v>
      </c>
      <c r="L3" s="3">
        <v>144</v>
      </c>
      <c r="M3" s="9">
        <f>L3/K36</f>
        <v>0.63436123348017626</v>
      </c>
      <c r="N3" s="10">
        <f>K3*M3</f>
        <v>2.037835120881144E-2</v>
      </c>
      <c r="P3" s="4" t="s">
        <v>15</v>
      </c>
      <c r="Q3" s="11">
        <f>$K$24+$K$28</f>
        <v>5.1280720700032707E-2</v>
      </c>
      <c r="R3" s="11">
        <f>$K$24+$K$28*2</f>
        <v>9.5592704053014871E-2</v>
      </c>
      <c r="S3" s="11">
        <f>$K$24+$K$28*3</f>
        <v>0.13990468740599701</v>
      </c>
      <c r="T3" s="6"/>
      <c r="U3" s="5">
        <v>1</v>
      </c>
      <c r="V3" s="5">
        <v>173</v>
      </c>
      <c r="W3" s="12">
        <f>Y3*$K$36</f>
        <v>154.81400000000002</v>
      </c>
      <c r="X3" s="13">
        <f>V3/$K$36</f>
        <v>0.76211453744493396</v>
      </c>
      <c r="Y3" s="13">
        <v>0.68200000000000005</v>
      </c>
    </row>
    <row r="4" spans="1:25">
      <c r="C4" s="1"/>
      <c r="E4" s="1"/>
      <c r="F4" s="1"/>
      <c r="G4" s="9" t="s">
        <v>16</v>
      </c>
      <c r="H4" s="14">
        <f>SUBTOTAL(2,C13:C241)</f>
        <v>227</v>
      </c>
      <c r="J4" s="3" t="s">
        <v>17</v>
      </c>
      <c r="K4" s="10">
        <v>-3.7492867014340479E-2</v>
      </c>
      <c r="L4" s="3">
        <v>82</v>
      </c>
      <c r="M4" s="9">
        <f>L4/K36</f>
        <v>0.36123348017621143</v>
      </c>
      <c r="N4" s="10">
        <f>K4*M4</f>
        <v>-1.3543678833374094E-2</v>
      </c>
      <c r="P4" s="4" t="s">
        <v>18</v>
      </c>
      <c r="Q4" s="11">
        <f>$K$24-$K$28</f>
        <v>-3.734324600593162E-2</v>
      </c>
      <c r="R4" s="11">
        <f>$K$24-$K$28*2</f>
        <v>-8.1655229358913783E-2</v>
      </c>
      <c r="S4" s="11">
        <f>$K$24-$K$28*3</f>
        <v>-0.12596721271189595</v>
      </c>
      <c r="T4" s="6"/>
      <c r="U4" s="5">
        <v>2</v>
      </c>
      <c r="V4" s="5">
        <v>215</v>
      </c>
      <c r="W4" s="12">
        <f>Y4*$K$36</f>
        <v>216.55799999999999</v>
      </c>
      <c r="X4" s="13">
        <f>V4/$K$36</f>
        <v>0.94713656387665202</v>
      </c>
      <c r="Y4" s="13">
        <v>0.95399999999999996</v>
      </c>
    </row>
    <row r="5" spans="1:25">
      <c r="C5" s="1"/>
      <c r="E5" s="1"/>
      <c r="F5" s="1"/>
      <c r="G5" s="1"/>
      <c r="J5" s="3" t="s">
        <v>19</v>
      </c>
      <c r="K5" s="3"/>
      <c r="L5" s="3">
        <f>$K$36-L3-L4</f>
        <v>1</v>
      </c>
      <c r="M5" s="3"/>
      <c r="N5" s="3"/>
      <c r="P5" s="6"/>
      <c r="Q5" s="6"/>
      <c r="R5" s="6"/>
      <c r="S5" s="6"/>
      <c r="T5" s="6"/>
      <c r="U5" s="5">
        <v>3</v>
      </c>
      <c r="V5" s="5">
        <v>227</v>
      </c>
      <c r="W5" s="12">
        <f>Y5*$K$36</f>
        <v>226.54599999999999</v>
      </c>
      <c r="X5" s="13">
        <f>V5/$K$36</f>
        <v>1</v>
      </c>
      <c r="Y5" s="13">
        <v>0.998</v>
      </c>
    </row>
    <row r="12" spans="1:25">
      <c r="A12" s="15" t="s">
        <v>20</v>
      </c>
      <c r="B12" s="15" t="s">
        <v>21</v>
      </c>
      <c r="C12" s="15" t="s">
        <v>22</v>
      </c>
      <c r="D12" s="15" t="s">
        <v>23</v>
      </c>
      <c r="E12" s="15" t="s">
        <v>24</v>
      </c>
      <c r="F12" s="15" t="s">
        <v>25</v>
      </c>
      <c r="G12" s="15" t="s">
        <v>26</v>
      </c>
      <c r="J12" s="3" t="s">
        <v>27</v>
      </c>
      <c r="K12" s="18" t="s">
        <v>28</v>
      </c>
      <c r="L12" s="18" t="s">
        <v>29</v>
      </c>
      <c r="M12" s="18" t="s">
        <v>3</v>
      </c>
    </row>
    <row r="13" spans="1:25">
      <c r="A13" s="16">
        <v>37043</v>
      </c>
      <c r="B13" s="17">
        <v>39.740375999999998</v>
      </c>
      <c r="E13" s="1"/>
      <c r="F13" s="1"/>
      <c r="G13" s="1"/>
      <c r="J13" s="19">
        <v>-0.15</v>
      </c>
      <c r="K13" s="19">
        <v>-0.15</v>
      </c>
      <c r="L13" s="3" t="s">
        <v>30</v>
      </c>
      <c r="M13" s="3">
        <v>1</v>
      </c>
    </row>
    <row r="14" spans="1:25">
      <c r="A14" s="16">
        <v>37073</v>
      </c>
      <c r="B14" s="17">
        <v>39.078197000000003</v>
      </c>
      <c r="C14" s="1">
        <f>(B14/B13)-1</f>
        <v>-1.6662625436659084E-2</v>
      </c>
      <c r="E14" s="1"/>
      <c r="F14" s="1"/>
      <c r="G14" s="1">
        <v>-1.7000000000000001E-2</v>
      </c>
      <c r="J14" s="19">
        <v>-0.1</v>
      </c>
      <c r="K14" s="19">
        <v>-0.1</v>
      </c>
      <c r="L14" s="21" t="s">
        <v>31</v>
      </c>
      <c r="M14" s="3">
        <v>3</v>
      </c>
    </row>
    <row r="15" spans="1:25">
      <c r="A15" s="16">
        <v>37104</v>
      </c>
      <c r="B15" s="17">
        <v>36.790047000000001</v>
      </c>
      <c r="C15" s="1">
        <f t="shared" ref="C15:C78" si="0">(B15/B14)-1</f>
        <v>-5.8553110830573907E-2</v>
      </c>
      <c r="E15" s="1"/>
      <c r="F15" s="1"/>
      <c r="G15" s="20"/>
      <c r="J15" s="19">
        <v>-0.05</v>
      </c>
      <c r="K15" s="19">
        <v>-0.05</v>
      </c>
      <c r="L15" s="22" t="s">
        <v>32</v>
      </c>
      <c r="M15" s="3">
        <v>21</v>
      </c>
    </row>
    <row r="16" spans="1:25">
      <c r="A16" s="16">
        <v>37135</v>
      </c>
      <c r="B16" s="17">
        <v>33.475945000000003</v>
      </c>
      <c r="C16" s="1">
        <f t="shared" si="0"/>
        <v>-9.0081483179404453E-2</v>
      </c>
      <c r="E16" s="1"/>
      <c r="F16" s="1"/>
      <c r="G16" s="20"/>
      <c r="J16" s="19">
        <v>0</v>
      </c>
      <c r="K16" s="19">
        <v>0</v>
      </c>
      <c r="L16" s="22" t="s">
        <v>33</v>
      </c>
      <c r="M16" s="3">
        <v>58</v>
      </c>
    </row>
    <row r="17" spans="1:13">
      <c r="A17" s="16">
        <v>37165</v>
      </c>
      <c r="B17" s="17">
        <v>34.285431000000003</v>
      </c>
      <c r="C17" s="1">
        <f t="shared" si="0"/>
        <v>2.4181124685203059E-2</v>
      </c>
      <c r="E17" s="1"/>
      <c r="F17" s="1"/>
      <c r="G17" s="1">
        <v>1.1000000000000001E-2</v>
      </c>
      <c r="J17" s="19">
        <v>0.05</v>
      </c>
      <c r="K17" s="19">
        <v>0.05</v>
      </c>
      <c r="L17" s="19" t="s">
        <v>34</v>
      </c>
      <c r="M17" s="3">
        <v>116</v>
      </c>
    </row>
    <row r="18" spans="1:13">
      <c r="A18" s="16">
        <v>37196</v>
      </c>
      <c r="B18" s="17">
        <v>36.896636999999998</v>
      </c>
      <c r="C18" s="1">
        <f t="shared" si="0"/>
        <v>7.6160804278645244E-2</v>
      </c>
      <c r="E18" s="1"/>
      <c r="F18" s="1"/>
      <c r="G18" s="20"/>
      <c r="J18" s="19">
        <v>0.1</v>
      </c>
      <c r="K18" s="19">
        <v>0.1</v>
      </c>
      <c r="L18" s="19" t="s">
        <v>35</v>
      </c>
      <c r="M18" s="3">
        <v>25</v>
      </c>
    </row>
    <row r="19" spans="1:13">
      <c r="A19" s="16">
        <v>37226</v>
      </c>
      <c r="B19" s="17">
        <v>37.289383000000001</v>
      </c>
      <c r="C19" s="1">
        <f t="shared" si="0"/>
        <v>1.0644493155297585E-2</v>
      </c>
      <c r="E19" s="1"/>
      <c r="F19" s="1"/>
      <c r="G19" s="20"/>
      <c r="J19" s="19">
        <v>0.15</v>
      </c>
      <c r="K19" s="19">
        <v>0.15</v>
      </c>
      <c r="L19" s="19" t="s">
        <v>36</v>
      </c>
      <c r="M19" s="3">
        <v>3</v>
      </c>
    </row>
    <row r="20" spans="1:13">
      <c r="A20" s="16">
        <v>37257</v>
      </c>
      <c r="B20" s="17">
        <v>37.101990000000001</v>
      </c>
      <c r="C20" s="1">
        <f t="shared" si="0"/>
        <v>-5.025371430790404E-3</v>
      </c>
      <c r="E20" s="1"/>
      <c r="F20" s="1"/>
      <c r="G20" s="1">
        <v>3.5000000000000003E-2</v>
      </c>
      <c r="J20" s="19"/>
      <c r="K20" s="3" t="s">
        <v>37</v>
      </c>
      <c r="L20" s="3" t="s">
        <v>38</v>
      </c>
      <c r="M20" s="3">
        <v>0</v>
      </c>
    </row>
    <row r="21" spans="1:13">
      <c r="A21" s="16">
        <v>37288</v>
      </c>
      <c r="B21" s="17">
        <v>36.452067999999997</v>
      </c>
      <c r="C21" s="1">
        <f t="shared" si="0"/>
        <v>-1.7517173607130121E-2</v>
      </c>
      <c r="E21" s="1"/>
      <c r="F21" s="1"/>
      <c r="G21" s="20"/>
    </row>
    <row r="22" spans="1:13">
      <c r="A22" s="16">
        <v>37316</v>
      </c>
      <c r="B22" s="17">
        <v>37.684429000000002</v>
      </c>
      <c r="C22" s="1">
        <f t="shared" si="0"/>
        <v>3.3807711540535967E-2</v>
      </c>
      <c r="E22" s="1"/>
      <c r="F22" s="1"/>
      <c r="G22" s="20"/>
    </row>
    <row r="23" spans="1:13">
      <c r="A23" s="16">
        <v>37347</v>
      </c>
      <c r="B23" s="17">
        <v>36.106022000000003</v>
      </c>
      <c r="C23" s="1">
        <f t="shared" si="0"/>
        <v>-4.1884859128421437E-2</v>
      </c>
      <c r="E23" s="1"/>
      <c r="F23" s="1"/>
      <c r="G23" s="1">
        <v>2.4E-2</v>
      </c>
      <c r="J23" s="23" t="s">
        <v>39</v>
      </c>
    </row>
    <row r="24" spans="1:13">
      <c r="A24" s="16">
        <v>37377</v>
      </c>
      <c r="B24" s="17">
        <v>35.596710000000002</v>
      </c>
      <c r="C24" s="1">
        <f t="shared" si="0"/>
        <v>-1.410601256488464E-2</v>
      </c>
      <c r="E24" s="1"/>
      <c r="F24" s="1"/>
      <c r="G24" s="20"/>
      <c r="J24" s="3" t="s">
        <v>40</v>
      </c>
      <c r="K24" s="24">
        <v>6.968737347050542E-3</v>
      </c>
    </row>
    <row r="25" spans="1:13">
      <c r="A25" s="16">
        <v>37408</v>
      </c>
      <c r="B25" s="17">
        <v>33.050266000000001</v>
      </c>
      <c r="C25" s="1">
        <f t="shared" si="0"/>
        <v>-7.1535936888549534E-2</v>
      </c>
      <c r="E25" s="1"/>
      <c r="F25" s="1"/>
      <c r="G25" s="20"/>
      <c r="J25" s="3" t="s">
        <v>41</v>
      </c>
      <c r="K25" s="24">
        <v>2.9410896334604152E-3</v>
      </c>
    </row>
    <row r="26" spans="1:13">
      <c r="A26" s="16">
        <v>37438</v>
      </c>
      <c r="B26" s="17">
        <v>30.378630000000001</v>
      </c>
      <c r="C26" s="1">
        <f t="shared" si="0"/>
        <v>-8.083553699688828E-2</v>
      </c>
      <c r="E26" s="1"/>
      <c r="F26" s="1"/>
      <c r="G26" s="1">
        <v>1.8000000000000002E-2</v>
      </c>
      <c r="J26" s="3" t="s">
        <v>42</v>
      </c>
      <c r="K26" s="24">
        <v>1.2929059940230747E-2</v>
      </c>
    </row>
    <row r="27" spans="1:13">
      <c r="A27" s="16">
        <v>37469</v>
      </c>
      <c r="B27" s="17">
        <v>30.610793999999999</v>
      </c>
      <c r="C27" s="1">
        <f t="shared" si="0"/>
        <v>7.6423459517429571E-3</v>
      </c>
      <c r="E27" s="1"/>
      <c r="F27" s="1"/>
      <c r="G27" s="20"/>
      <c r="J27" s="3" t="s">
        <v>43</v>
      </c>
      <c r="K27" s="3" t="e">
        <v>#N/A</v>
      </c>
    </row>
    <row r="28" spans="1:13">
      <c r="A28" s="16">
        <v>37500</v>
      </c>
      <c r="B28" s="17">
        <v>27.410774</v>
      </c>
      <c r="C28" s="1">
        <f t="shared" si="0"/>
        <v>-0.10453894139433295</v>
      </c>
      <c r="E28" s="1"/>
      <c r="F28" s="1"/>
      <c r="G28" s="20"/>
      <c r="J28" s="3" t="s">
        <v>44</v>
      </c>
      <c r="K28" s="24">
        <v>4.4311983352982164E-2</v>
      </c>
    </row>
    <row r="29" spans="1:13">
      <c r="A29" s="16">
        <v>37530</v>
      </c>
      <c r="B29" s="17">
        <v>29.578098000000001</v>
      </c>
      <c r="C29" s="1">
        <f t="shared" si="0"/>
        <v>7.9068325469394019E-2</v>
      </c>
      <c r="E29" s="1"/>
      <c r="F29" s="1"/>
      <c r="G29" s="1">
        <v>6.0000000000000001E-3</v>
      </c>
      <c r="J29" s="3" t="s">
        <v>45</v>
      </c>
      <c r="K29" s="24">
        <v>1.9635518686749683E-3</v>
      </c>
    </row>
    <row r="30" spans="1:13">
      <c r="A30" s="16">
        <v>37561</v>
      </c>
      <c r="B30" s="17">
        <v>31.352774</v>
      </c>
      <c r="C30" s="1">
        <f t="shared" si="0"/>
        <v>5.9999665969055815E-2</v>
      </c>
      <c r="E30" s="1"/>
      <c r="F30" s="1"/>
      <c r="G30" s="20"/>
      <c r="J30" s="3" t="s">
        <v>46</v>
      </c>
      <c r="K30" s="25">
        <v>1.5844433557185003</v>
      </c>
    </row>
    <row r="31" spans="1:13">
      <c r="A31" s="16">
        <v>37591</v>
      </c>
      <c r="B31" s="17">
        <v>29.62471</v>
      </c>
      <c r="C31" s="1">
        <f t="shared" si="0"/>
        <v>-5.5116781692107986E-2</v>
      </c>
      <c r="E31" s="1"/>
      <c r="F31" s="1"/>
      <c r="G31" s="20"/>
      <c r="J31" s="3" t="s">
        <v>47</v>
      </c>
      <c r="K31" s="25">
        <v>-0.60939944046173</v>
      </c>
    </row>
    <row r="32" spans="1:13">
      <c r="A32" s="16">
        <v>37622</v>
      </c>
      <c r="B32" s="17">
        <v>28.938614000000001</v>
      </c>
      <c r="C32" s="1">
        <f t="shared" si="0"/>
        <v>-2.3159585359654122E-2</v>
      </c>
      <c r="E32" s="1"/>
      <c r="F32" s="1"/>
      <c r="G32" s="1">
        <v>2.2000000000000002E-2</v>
      </c>
      <c r="J32" s="3" t="s">
        <v>48</v>
      </c>
      <c r="K32" s="24">
        <v>0.30765063618776778</v>
      </c>
    </row>
    <row r="33" spans="1:13">
      <c r="A33" s="16">
        <v>37653</v>
      </c>
      <c r="B33" s="17">
        <v>28.491968</v>
      </c>
      <c r="C33" s="1">
        <f t="shared" si="0"/>
        <v>-1.5434256803038338E-2</v>
      </c>
      <c r="E33" s="1"/>
      <c r="F33" s="1"/>
      <c r="G33" s="20"/>
      <c r="J33" s="3" t="s">
        <v>49</v>
      </c>
      <c r="K33" s="24">
        <v>-0.17069903536275444</v>
      </c>
    </row>
    <row r="34" spans="1:13">
      <c r="A34" s="16">
        <v>37681</v>
      </c>
      <c r="B34" s="17">
        <v>28.600038999999999</v>
      </c>
      <c r="C34" s="1">
        <f t="shared" si="0"/>
        <v>3.7930338823910503E-3</v>
      </c>
      <c r="E34" s="1"/>
      <c r="F34" s="1"/>
      <c r="G34" s="20"/>
      <c r="J34" s="3" t="s">
        <v>50</v>
      </c>
      <c r="K34" s="24">
        <v>0.13695160082501334</v>
      </c>
    </row>
    <row r="35" spans="1:13">
      <c r="A35" s="16">
        <v>37712</v>
      </c>
      <c r="B35" s="17">
        <v>31.179065999999999</v>
      </c>
      <c r="C35" s="1">
        <f t="shared" si="0"/>
        <v>9.0175646263978892E-2</v>
      </c>
      <c r="E35" s="1"/>
      <c r="F35" s="1"/>
      <c r="G35" s="1">
        <v>3.5000000000000003E-2</v>
      </c>
      <c r="J35" s="3" t="s">
        <v>51</v>
      </c>
      <c r="K35" s="25">
        <v>1.581903377780473</v>
      </c>
    </row>
    <row r="36" spans="1:13">
      <c r="A36" s="16">
        <v>37742</v>
      </c>
      <c r="B36" s="17">
        <v>32.997604000000003</v>
      </c>
      <c r="C36" s="1">
        <f t="shared" si="0"/>
        <v>5.8325608599051781E-2</v>
      </c>
      <c r="E36" s="1"/>
      <c r="F36" s="1"/>
      <c r="G36" s="20"/>
      <c r="J36" s="3" t="s">
        <v>16</v>
      </c>
      <c r="K36" s="3">
        <v>227</v>
      </c>
    </row>
    <row r="37" spans="1:13">
      <c r="A37" s="16">
        <v>37773</v>
      </c>
      <c r="B37" s="17">
        <v>33.424232000000003</v>
      </c>
      <c r="C37" s="1">
        <f t="shared" si="0"/>
        <v>1.2929059940230747E-2</v>
      </c>
      <c r="E37" s="1"/>
      <c r="F37" s="1"/>
      <c r="G37" s="20"/>
    </row>
    <row r="38" spans="1:13">
      <c r="A38" s="16">
        <v>37803</v>
      </c>
      <c r="B38" s="17">
        <v>34.310676999999998</v>
      </c>
      <c r="C38" s="1">
        <f t="shared" si="0"/>
        <v>2.6521028216893505E-2</v>
      </c>
      <c r="E38" s="1"/>
      <c r="F38" s="1"/>
      <c r="G38" s="1">
        <v>7.0000000000000007E-2</v>
      </c>
    </row>
    <row r="39" spans="1:13">
      <c r="A39" s="16">
        <v>37834</v>
      </c>
      <c r="B39" s="17">
        <v>35.130375000000001</v>
      </c>
      <c r="C39" s="1">
        <f t="shared" si="0"/>
        <v>2.3890464184078919E-2</v>
      </c>
      <c r="E39" s="1"/>
      <c r="F39" s="1"/>
      <c r="G39" s="20"/>
    </row>
    <row r="40" spans="1:13">
      <c r="A40" s="16">
        <v>37865</v>
      </c>
      <c r="B40" s="17">
        <v>34.637093</v>
      </c>
      <c r="C40" s="1">
        <f t="shared" si="0"/>
        <v>-1.4041466964130112E-2</v>
      </c>
      <c r="E40" s="1"/>
      <c r="F40" s="1"/>
      <c r="G40" s="20"/>
      <c r="J40" s="3" t="s">
        <v>52</v>
      </c>
      <c r="K40" s="3" t="s">
        <v>53</v>
      </c>
      <c r="L40" s="3" t="s">
        <v>54</v>
      </c>
      <c r="M40" s="3" t="s">
        <v>55</v>
      </c>
    </row>
    <row r="41" spans="1:13">
      <c r="A41" s="16">
        <v>37895</v>
      </c>
      <c r="B41" s="17">
        <v>36.864223000000003</v>
      </c>
      <c r="C41" s="1">
        <f t="shared" si="0"/>
        <v>6.4298987215815284E-2</v>
      </c>
      <c r="E41" s="1"/>
      <c r="F41" s="1"/>
      <c r="G41" s="1">
        <v>4.7E-2</v>
      </c>
      <c r="J41" s="3" t="s">
        <v>56</v>
      </c>
      <c r="K41" s="9">
        <v>0.1128</v>
      </c>
      <c r="L41" s="9">
        <v>0.13450000000000001</v>
      </c>
      <c r="M41" s="9">
        <f>K41-L41</f>
        <v>-2.1700000000000011E-2</v>
      </c>
    </row>
    <row r="42" spans="1:13">
      <c r="A42" s="16">
        <v>37926</v>
      </c>
      <c r="B42" s="17">
        <v>37.417465</v>
      </c>
      <c r="C42" s="1">
        <f t="shared" si="0"/>
        <v>1.5007558954924782E-2</v>
      </c>
      <c r="E42" s="1"/>
      <c r="F42" s="1"/>
      <c r="G42" s="20"/>
      <c r="J42" s="3" t="s">
        <v>57</v>
      </c>
      <c r="K42" s="9">
        <v>9.5200000000000007E-2</v>
      </c>
      <c r="L42" s="9">
        <v>0.1014</v>
      </c>
      <c r="M42" s="9">
        <f>K42-L42</f>
        <v>-6.1999999999999972E-3</v>
      </c>
    </row>
    <row r="43" spans="1:13">
      <c r="A43" s="16">
        <v>37956</v>
      </c>
      <c r="B43" s="17">
        <v>38.749637999999997</v>
      </c>
      <c r="C43" s="1">
        <f t="shared" si="0"/>
        <v>3.560297310360272E-2</v>
      </c>
      <c r="E43" s="1"/>
      <c r="F43" s="1"/>
      <c r="G43" s="20"/>
      <c r="J43" s="3" t="s">
        <v>58</v>
      </c>
      <c r="K43" s="9">
        <v>9.1399999999999995E-2</v>
      </c>
      <c r="L43" s="9">
        <v>0.15759999999999999</v>
      </c>
      <c r="M43" s="9">
        <f>K43-L43</f>
        <v>-6.6199999999999995E-2</v>
      </c>
    </row>
    <row r="44" spans="1:13">
      <c r="A44" s="16">
        <v>37987</v>
      </c>
      <c r="B44" s="17">
        <v>39.929859</v>
      </c>
      <c r="C44" s="1">
        <f t="shared" si="0"/>
        <v>3.0457600661972783E-2</v>
      </c>
      <c r="E44" s="1"/>
      <c r="F44" s="1"/>
      <c r="G44" s="1">
        <v>2.2000000000000002E-2</v>
      </c>
      <c r="J44" s="3" t="s">
        <v>59</v>
      </c>
      <c r="K44" s="9">
        <v>0.1278</v>
      </c>
      <c r="L44" s="9">
        <v>7.3300000000000004E-2</v>
      </c>
      <c r="M44" s="9">
        <f>K44-L44</f>
        <v>5.4499999999999993E-2</v>
      </c>
    </row>
    <row r="45" spans="1:13">
      <c r="A45" s="16">
        <v>38018</v>
      </c>
      <c r="B45" s="17">
        <v>40.489082000000003</v>
      </c>
      <c r="C45" s="1">
        <f t="shared" si="0"/>
        <v>1.4005133351460142E-2</v>
      </c>
      <c r="E45" s="1"/>
      <c r="F45" s="1"/>
      <c r="G45" s="20"/>
    </row>
    <row r="46" spans="1:13">
      <c r="A46" s="16">
        <v>38047</v>
      </c>
      <c r="B46" s="17">
        <v>39.944465999999998</v>
      </c>
      <c r="C46" s="1">
        <f t="shared" si="0"/>
        <v>-1.345093474828607E-2</v>
      </c>
      <c r="E46" s="1"/>
      <c r="F46" s="1"/>
      <c r="G46" s="20"/>
    </row>
    <row r="47" spans="1:13">
      <c r="A47" s="16">
        <v>38078</v>
      </c>
      <c r="B47" s="17">
        <v>39.183506000000001</v>
      </c>
      <c r="C47" s="1">
        <f t="shared" si="0"/>
        <v>-1.9050448690439259E-2</v>
      </c>
      <c r="E47" s="1"/>
      <c r="F47" s="1"/>
      <c r="G47" s="1">
        <v>3.1E-2</v>
      </c>
      <c r="J47" t="s">
        <v>60</v>
      </c>
    </row>
    <row r="48" spans="1:13">
      <c r="A48" s="16">
        <v>38108</v>
      </c>
      <c r="B48" s="17">
        <v>39.751911</v>
      </c>
      <c r="C48" s="1">
        <f t="shared" si="0"/>
        <v>1.4506231269861392E-2</v>
      </c>
      <c r="E48" s="1"/>
      <c r="F48" s="1"/>
      <c r="G48" s="20"/>
      <c r="J48" t="s">
        <v>61</v>
      </c>
    </row>
    <row r="49" spans="1:10">
      <c r="A49" s="16">
        <v>38139</v>
      </c>
      <c r="B49" s="17">
        <v>40.419322999999999</v>
      </c>
      <c r="C49" s="1">
        <f t="shared" si="0"/>
        <v>1.6789431833855728E-2</v>
      </c>
      <c r="E49" s="1"/>
      <c r="F49" s="1"/>
      <c r="G49" s="20"/>
      <c r="J49" t="s">
        <v>62</v>
      </c>
    </row>
    <row r="50" spans="1:10">
      <c r="A50" s="16">
        <v>38169</v>
      </c>
      <c r="B50" s="17">
        <v>39.116610999999999</v>
      </c>
      <c r="C50" s="1">
        <f t="shared" si="0"/>
        <v>-3.2229931213840435E-2</v>
      </c>
      <c r="E50" s="1"/>
      <c r="F50" s="1"/>
      <c r="G50" s="1">
        <v>3.7999999999999999E-2</v>
      </c>
    </row>
    <row r="51" spans="1:10">
      <c r="A51" s="16">
        <v>38200</v>
      </c>
      <c r="B51" s="17">
        <v>39.138686999999997</v>
      </c>
      <c r="C51" s="1">
        <f t="shared" si="0"/>
        <v>5.6436381975921712E-4</v>
      </c>
      <c r="E51" s="1"/>
      <c r="F51" s="1"/>
      <c r="G51" s="20"/>
    </row>
    <row r="52" spans="1:10">
      <c r="A52" s="16">
        <v>38231</v>
      </c>
      <c r="B52" s="17">
        <v>39.653877000000001</v>
      </c>
      <c r="C52" s="1">
        <f t="shared" si="0"/>
        <v>1.3163190681384052E-2</v>
      </c>
      <c r="E52" s="1"/>
      <c r="F52" s="1"/>
      <c r="G52" s="20"/>
    </row>
    <row r="53" spans="1:10">
      <c r="A53" s="16">
        <v>38261</v>
      </c>
      <c r="B53" s="17">
        <v>40.513351</v>
      </c>
      <c r="C53" s="1">
        <f t="shared" si="0"/>
        <v>2.1674400210602407E-2</v>
      </c>
      <c r="E53" s="1"/>
      <c r="F53" s="1"/>
      <c r="G53" s="1">
        <v>4.0999999999999995E-2</v>
      </c>
    </row>
    <row r="54" spans="1:10">
      <c r="A54" s="16">
        <v>38292</v>
      </c>
      <c r="B54" s="17">
        <v>42.433750000000003</v>
      </c>
      <c r="C54" s="1">
        <f t="shared" si="0"/>
        <v>4.7401633106084029E-2</v>
      </c>
      <c r="E54" s="1"/>
      <c r="F54" s="1"/>
      <c r="G54" s="20"/>
    </row>
    <row r="55" spans="1:10">
      <c r="A55" s="16">
        <v>38322</v>
      </c>
      <c r="B55" s="17">
        <v>43.597092000000004</v>
      </c>
      <c r="C55" s="1">
        <f t="shared" si="0"/>
        <v>2.7415488850266678E-2</v>
      </c>
      <c r="E55" s="1"/>
      <c r="F55" s="1"/>
      <c r="G55" s="20"/>
    </row>
    <row r="56" spans="1:10">
      <c r="A56" s="16">
        <v>38353</v>
      </c>
      <c r="B56" s="17">
        <v>42.790730000000003</v>
      </c>
      <c r="C56" s="1">
        <f t="shared" si="0"/>
        <v>-1.8495774901683859E-2</v>
      </c>
      <c r="E56" s="1"/>
      <c r="F56" s="1"/>
      <c r="G56" s="1">
        <v>4.4999999999999998E-2</v>
      </c>
    </row>
    <row r="57" spans="1:10">
      <c r="A57" s="16">
        <v>38384</v>
      </c>
      <c r="B57" s="17">
        <v>43.682980000000001</v>
      </c>
      <c r="C57" s="1">
        <f t="shared" si="0"/>
        <v>2.0851478813284974E-2</v>
      </c>
      <c r="E57" s="1"/>
      <c r="F57" s="1"/>
      <c r="G57" s="20"/>
    </row>
    <row r="58" spans="1:10">
      <c r="A58" s="16">
        <v>38412</v>
      </c>
      <c r="B58" s="17">
        <v>42.701518999999998</v>
      </c>
      <c r="C58" s="1">
        <f t="shared" si="0"/>
        <v>-2.2467812406571253E-2</v>
      </c>
      <c r="E58" s="1"/>
      <c r="F58" s="1"/>
      <c r="G58" s="20"/>
    </row>
    <row r="59" spans="1:10">
      <c r="A59" s="16">
        <v>38443</v>
      </c>
      <c r="B59" s="17">
        <v>41.921078000000001</v>
      </c>
      <c r="C59" s="1">
        <f t="shared" si="0"/>
        <v>-1.8276656621980969E-2</v>
      </c>
      <c r="E59" s="1"/>
      <c r="F59" s="1"/>
      <c r="G59" s="1">
        <v>1.9E-2</v>
      </c>
    </row>
    <row r="60" spans="1:10">
      <c r="A60" s="16">
        <v>38473</v>
      </c>
      <c r="B60" s="17">
        <v>43.548203000000001</v>
      </c>
      <c r="C60" s="1">
        <f t="shared" si="0"/>
        <v>3.8814006643626886E-2</v>
      </c>
      <c r="E60" s="1"/>
      <c r="F60" s="1"/>
      <c r="G60" s="20"/>
    </row>
    <row r="61" spans="1:10">
      <c r="A61" s="16">
        <v>38504</v>
      </c>
      <c r="B61" s="17">
        <v>43.727345</v>
      </c>
      <c r="C61" s="1">
        <f t="shared" si="0"/>
        <v>4.1136485011792345E-3</v>
      </c>
      <c r="E61" s="1"/>
      <c r="F61" s="1"/>
      <c r="G61" s="20"/>
    </row>
    <row r="62" spans="1:10">
      <c r="A62" s="16">
        <v>38534</v>
      </c>
      <c r="B62" s="17">
        <v>45.799511000000003</v>
      </c>
      <c r="C62" s="1">
        <f t="shared" si="0"/>
        <v>4.7388333318659104E-2</v>
      </c>
      <c r="E62" s="1"/>
      <c r="F62" s="1"/>
      <c r="G62" s="1">
        <v>3.6000000000000004E-2</v>
      </c>
    </row>
    <row r="63" spans="1:10">
      <c r="A63" s="16">
        <v>38565</v>
      </c>
      <c r="B63" s="17">
        <v>45.301445000000001</v>
      </c>
      <c r="C63" s="1">
        <f t="shared" si="0"/>
        <v>-1.0874919603399258E-2</v>
      </c>
      <c r="E63" s="1"/>
      <c r="F63" s="1"/>
      <c r="G63" s="20"/>
    </row>
    <row r="64" spans="1:10">
      <c r="A64" s="16">
        <v>38596</v>
      </c>
      <c r="B64" s="17">
        <v>45.443752000000003</v>
      </c>
      <c r="C64" s="1">
        <f t="shared" si="0"/>
        <v>3.1413346748652149E-3</v>
      </c>
      <c r="E64" s="1"/>
      <c r="F64" s="1"/>
      <c r="G64" s="20"/>
    </row>
    <row r="65" spans="1:7">
      <c r="A65" s="16">
        <v>38626</v>
      </c>
      <c r="B65" s="17">
        <v>44.587722999999997</v>
      </c>
      <c r="C65" s="1">
        <f t="shared" si="0"/>
        <v>-1.8837110985026162E-2</v>
      </c>
      <c r="E65" s="1"/>
      <c r="F65" s="1"/>
      <c r="G65" s="1">
        <v>2.6000000000000002E-2</v>
      </c>
    </row>
    <row r="66" spans="1:7">
      <c r="A66" s="16">
        <v>38657</v>
      </c>
      <c r="B66" s="17">
        <v>46.645907999999999</v>
      </c>
      <c r="C66" s="1">
        <f t="shared" si="0"/>
        <v>4.6160352256606751E-2</v>
      </c>
      <c r="E66" s="1"/>
      <c r="F66" s="1"/>
      <c r="G66" s="20"/>
    </row>
    <row r="67" spans="1:7">
      <c r="A67" s="16">
        <v>38687</v>
      </c>
      <c r="B67" s="17">
        <v>46.405106000000004</v>
      </c>
      <c r="C67" s="1">
        <f t="shared" si="0"/>
        <v>-5.1623392131201484E-3</v>
      </c>
      <c r="E67" s="1"/>
      <c r="F67" s="1"/>
      <c r="G67" s="20"/>
    </row>
    <row r="68" spans="1:7">
      <c r="A68" s="16">
        <v>38718</v>
      </c>
      <c r="B68" s="17">
        <v>48.155940999999999</v>
      </c>
      <c r="C68" s="1">
        <f t="shared" si="0"/>
        <v>3.7729361075050649E-2</v>
      </c>
      <c r="E68" s="1"/>
      <c r="F68" s="1"/>
      <c r="G68" s="1">
        <v>5.4000000000000006E-2</v>
      </c>
    </row>
    <row r="69" spans="1:7">
      <c r="A69" s="16">
        <v>38749</v>
      </c>
      <c r="B69" s="17">
        <v>48.261864000000003</v>
      </c>
      <c r="C69" s="1">
        <f t="shared" si="0"/>
        <v>2.1995832248404845E-3</v>
      </c>
      <c r="E69" s="1"/>
      <c r="F69" s="1"/>
      <c r="G69" s="20"/>
    </row>
    <row r="70" spans="1:7">
      <c r="A70" s="16">
        <v>38777</v>
      </c>
      <c r="B70" s="17">
        <v>49.052470999999997</v>
      </c>
      <c r="C70" s="1">
        <f t="shared" si="0"/>
        <v>1.6381609297146049E-2</v>
      </c>
      <c r="E70" s="1"/>
      <c r="F70" s="1"/>
      <c r="G70" s="20"/>
    </row>
    <row r="71" spans="1:7">
      <c r="A71" s="16">
        <v>38808</v>
      </c>
      <c r="B71" s="17">
        <v>49.722439000000001</v>
      </c>
      <c r="C71" s="1">
        <f t="shared" si="0"/>
        <v>1.3658190634270095E-2</v>
      </c>
      <c r="E71" s="1"/>
      <c r="F71" s="1"/>
      <c r="G71" s="1">
        <v>9.0000000000000011E-3</v>
      </c>
    </row>
    <row r="72" spans="1:7">
      <c r="A72" s="16">
        <v>38838</v>
      </c>
      <c r="B72" s="17">
        <v>48.119587000000003</v>
      </c>
      <c r="C72" s="1">
        <f t="shared" si="0"/>
        <v>-3.2235989067229798E-2</v>
      </c>
      <c r="E72" s="1"/>
      <c r="F72" s="1"/>
      <c r="G72" s="20"/>
    </row>
    <row r="73" spans="1:7">
      <c r="A73" s="16">
        <v>38869</v>
      </c>
      <c r="B73" s="17">
        <v>47.975245999999999</v>
      </c>
      <c r="C73" s="1">
        <f t="shared" si="0"/>
        <v>-2.99963089874411E-3</v>
      </c>
      <c r="E73" s="1"/>
      <c r="F73" s="1"/>
      <c r="G73" s="20"/>
    </row>
    <row r="74" spans="1:7">
      <c r="A74" s="16">
        <v>38899</v>
      </c>
      <c r="B74" s="17">
        <v>48.126067999999997</v>
      </c>
      <c r="C74" s="1">
        <f t="shared" si="0"/>
        <v>3.1437462561421103E-3</v>
      </c>
      <c r="E74" s="1"/>
      <c r="F74" s="1"/>
      <c r="G74" s="1">
        <v>6.0000000000000001E-3</v>
      </c>
    </row>
    <row r="75" spans="1:7">
      <c r="A75" s="16">
        <v>38930</v>
      </c>
      <c r="B75" s="17">
        <v>49.232315</v>
      </c>
      <c r="C75" s="1">
        <f t="shared" si="0"/>
        <v>2.2986440529486174E-2</v>
      </c>
      <c r="E75" s="1"/>
      <c r="F75" s="1"/>
      <c r="G75" s="20"/>
    </row>
    <row r="76" spans="1:7">
      <c r="A76" s="16">
        <v>38961</v>
      </c>
      <c r="B76" s="17">
        <v>50.140217</v>
      </c>
      <c r="C76" s="1">
        <f t="shared" si="0"/>
        <v>1.8441180350751374E-2</v>
      </c>
      <c r="E76" s="1"/>
      <c r="F76" s="1"/>
      <c r="G76" s="20"/>
    </row>
    <row r="77" spans="1:7">
      <c r="A77" s="16">
        <v>38991</v>
      </c>
      <c r="B77" s="17">
        <v>52.122208000000001</v>
      </c>
      <c r="C77" s="1">
        <f t="shared" si="0"/>
        <v>3.9528967335741738E-2</v>
      </c>
      <c r="E77" s="1"/>
      <c r="F77" s="1"/>
      <c r="G77" s="1">
        <v>3.5000000000000003E-2</v>
      </c>
    </row>
    <row r="78" spans="1:7">
      <c r="A78" s="16">
        <v>39022</v>
      </c>
      <c r="B78" s="17">
        <v>53.336395000000003</v>
      </c>
      <c r="C78" s="1">
        <f t="shared" si="0"/>
        <v>2.3295003158730454E-2</v>
      </c>
      <c r="E78" s="1"/>
      <c r="F78" s="1"/>
      <c r="G78" s="20"/>
    </row>
    <row r="79" spans="1:7">
      <c r="A79" s="16">
        <v>39052</v>
      </c>
      <c r="B79" s="17">
        <v>53.704121000000001</v>
      </c>
      <c r="C79" s="1">
        <f t="shared" ref="C79:C110" si="1">(B79/B78)-1</f>
        <v>6.8944667145200977E-3</v>
      </c>
      <c r="E79" s="1"/>
      <c r="F79" s="1"/>
      <c r="G79" s="20"/>
    </row>
    <row r="80" spans="1:7">
      <c r="A80" s="16">
        <v>39083</v>
      </c>
      <c r="B80" s="17">
        <v>54.982036999999998</v>
      </c>
      <c r="C80" s="1">
        <f t="shared" si="1"/>
        <v>2.3795492342198354E-2</v>
      </c>
      <c r="E80" s="1"/>
      <c r="F80" s="1"/>
      <c r="G80" s="1">
        <v>9.0000000000000011E-3</v>
      </c>
    </row>
    <row r="81" spans="1:7">
      <c r="A81" s="16">
        <v>39114</v>
      </c>
      <c r="B81" s="17">
        <v>54.088898</v>
      </c>
      <c r="C81" s="1">
        <f t="shared" si="1"/>
        <v>-1.6244196263590527E-2</v>
      </c>
      <c r="E81" s="1"/>
      <c r="F81" s="1"/>
      <c r="G81" s="20"/>
    </row>
    <row r="82" spans="1:7">
      <c r="A82" s="16">
        <v>39142</v>
      </c>
      <c r="B82" s="17">
        <v>54.462344999999999</v>
      </c>
      <c r="C82" s="1">
        <f t="shared" si="1"/>
        <v>6.9043188862898397E-3</v>
      </c>
      <c r="E82" s="1"/>
      <c r="F82" s="1"/>
      <c r="G82" s="20"/>
    </row>
    <row r="83" spans="1:7">
      <c r="A83" s="16">
        <v>39173</v>
      </c>
      <c r="B83" s="17">
        <v>56.895068999999999</v>
      </c>
      <c r="C83" s="1">
        <f t="shared" si="1"/>
        <v>4.4667999514159673E-2</v>
      </c>
      <c r="E83" s="1"/>
      <c r="F83" s="1"/>
      <c r="G83" s="1">
        <v>2.3E-2</v>
      </c>
    </row>
    <row r="84" spans="1:7">
      <c r="A84" s="16">
        <v>39203</v>
      </c>
      <c r="B84" s="17">
        <v>59.013744000000003</v>
      </c>
      <c r="C84" s="1">
        <f t="shared" si="1"/>
        <v>3.7238288611619375E-2</v>
      </c>
      <c r="E84" s="1"/>
      <c r="F84" s="1"/>
      <c r="G84" s="20"/>
    </row>
    <row r="85" spans="1:7">
      <c r="A85" s="16">
        <v>39234</v>
      </c>
      <c r="B85" s="17">
        <v>57.753376000000003</v>
      </c>
      <c r="C85" s="1">
        <f t="shared" si="1"/>
        <v>-2.1357194351200648E-2</v>
      </c>
      <c r="E85" s="1"/>
      <c r="F85" s="1"/>
      <c r="G85" s="20"/>
    </row>
    <row r="86" spans="1:7">
      <c r="A86" s="16">
        <v>39264</v>
      </c>
      <c r="B86" s="17">
        <v>55.924328000000003</v>
      </c>
      <c r="C86" s="1">
        <f t="shared" si="1"/>
        <v>-3.1669975448707977E-2</v>
      </c>
      <c r="E86" s="1"/>
      <c r="F86" s="1"/>
      <c r="G86" s="1">
        <v>2.2000000000000002E-2</v>
      </c>
    </row>
    <row r="87" spans="1:7">
      <c r="A87" s="16">
        <v>39295</v>
      </c>
      <c r="B87" s="17">
        <v>56.747081999999999</v>
      </c>
      <c r="C87" s="1">
        <f t="shared" si="1"/>
        <v>1.4711915715822199E-2</v>
      </c>
      <c r="E87" s="1"/>
      <c r="F87" s="1"/>
      <c r="G87" s="20"/>
    </row>
    <row r="88" spans="1:7">
      <c r="A88" s="16">
        <v>39326</v>
      </c>
      <c r="B88" s="17">
        <v>58.679805999999999</v>
      </c>
      <c r="C88" s="1">
        <f t="shared" si="1"/>
        <v>3.4058561812922772E-2</v>
      </c>
      <c r="E88" s="1"/>
      <c r="F88" s="1"/>
      <c r="G88" s="20"/>
    </row>
    <row r="89" spans="1:7">
      <c r="A89" s="16">
        <v>39356</v>
      </c>
      <c r="B89" s="17">
        <v>59.986221</v>
      </c>
      <c r="C89" s="1">
        <f t="shared" si="1"/>
        <v>2.2263451245902122E-2</v>
      </c>
      <c r="E89" s="1"/>
      <c r="F89" s="1"/>
      <c r="G89" s="1">
        <v>2.5000000000000001E-2</v>
      </c>
    </row>
    <row r="90" spans="1:7">
      <c r="A90" s="16">
        <v>39387</v>
      </c>
      <c r="B90" s="17">
        <v>57.273547999999998</v>
      </c>
      <c r="C90" s="1">
        <f t="shared" si="1"/>
        <v>-4.5221601807521772E-2</v>
      </c>
      <c r="E90" s="1"/>
      <c r="F90" s="1"/>
      <c r="G90" s="20"/>
    </row>
    <row r="91" spans="1:7">
      <c r="A91" s="16">
        <v>39417</v>
      </c>
      <c r="B91" s="17">
        <v>56.572001999999998</v>
      </c>
      <c r="C91" s="1">
        <f t="shared" si="1"/>
        <v>-1.2249040342323436E-2</v>
      </c>
      <c r="E91" s="1"/>
      <c r="F91" s="1"/>
      <c r="G91" s="20"/>
    </row>
    <row r="92" spans="1:7">
      <c r="A92" s="16">
        <v>39448</v>
      </c>
      <c r="B92" s="17">
        <v>53.368805000000002</v>
      </c>
      <c r="C92" s="1">
        <f t="shared" si="1"/>
        <v>-5.6621595254839896E-2</v>
      </c>
      <c r="E92" s="1"/>
      <c r="F92" s="1"/>
      <c r="G92" s="1">
        <v>-2.3E-2</v>
      </c>
    </row>
    <row r="93" spans="1:7">
      <c r="A93" s="16">
        <v>39479</v>
      </c>
      <c r="B93" s="17">
        <v>52.036529999999999</v>
      </c>
      <c r="C93" s="1">
        <f t="shared" si="1"/>
        <v>-2.4963553146824302E-2</v>
      </c>
      <c r="E93" s="1"/>
      <c r="F93" s="1"/>
      <c r="G93" s="20"/>
    </row>
    <row r="94" spans="1:7">
      <c r="A94" s="16">
        <v>39508</v>
      </c>
      <c r="B94" s="17">
        <v>51.331234000000002</v>
      </c>
      <c r="C94" s="1">
        <f t="shared" si="1"/>
        <v>-1.3553863026608326E-2</v>
      </c>
      <c r="E94" s="1"/>
      <c r="F94" s="1"/>
      <c r="G94" s="20"/>
    </row>
    <row r="95" spans="1:7">
      <c r="A95" s="16">
        <v>39539</v>
      </c>
      <c r="B95" s="17">
        <v>54.090491999999998</v>
      </c>
      <c r="C95" s="1">
        <f t="shared" si="1"/>
        <v>5.3753977549029885E-2</v>
      </c>
      <c r="E95" s="1"/>
      <c r="F95" s="1"/>
      <c r="G95" s="1">
        <v>2.1000000000000001E-2</v>
      </c>
    </row>
    <row r="96" spans="1:7">
      <c r="A96" s="16">
        <v>39569</v>
      </c>
      <c r="B96" s="17">
        <v>55.180957999999997</v>
      </c>
      <c r="C96" s="1">
        <f t="shared" si="1"/>
        <v>2.0160031082727015E-2</v>
      </c>
      <c r="E96" s="1"/>
      <c r="F96" s="1"/>
      <c r="G96" s="20"/>
    </row>
    <row r="97" spans="1:7">
      <c r="A97" s="16">
        <v>39600</v>
      </c>
      <c r="B97" s="17">
        <v>50.460830999999999</v>
      </c>
      <c r="C97" s="1">
        <f t="shared" si="1"/>
        <v>-8.5539054976174866E-2</v>
      </c>
      <c r="E97" s="1"/>
      <c r="F97" s="1"/>
      <c r="G97" s="20"/>
    </row>
    <row r="98" spans="1:7">
      <c r="A98" s="16">
        <v>39630</v>
      </c>
      <c r="B98" s="17">
        <v>50.383408000000003</v>
      </c>
      <c r="C98" s="1">
        <f t="shared" si="1"/>
        <v>-1.5343187669659697E-3</v>
      </c>
      <c r="E98" s="1"/>
      <c r="F98" s="1"/>
      <c r="G98" s="1">
        <v>-2.1000000000000001E-2</v>
      </c>
    </row>
    <row r="99" spans="1:7">
      <c r="A99" s="16">
        <v>39661</v>
      </c>
      <c r="B99" s="17">
        <v>51.119098999999999</v>
      </c>
      <c r="C99" s="1">
        <f t="shared" si="1"/>
        <v>1.460185067274522E-2</v>
      </c>
      <c r="E99" s="1"/>
      <c r="F99" s="1"/>
      <c r="G99" s="20"/>
    </row>
    <row r="100" spans="1:7">
      <c r="A100" s="16">
        <v>39692</v>
      </c>
      <c r="B100" s="17">
        <v>46.166992</v>
      </c>
      <c r="C100" s="1">
        <f t="shared" si="1"/>
        <v>-9.6873910082022396E-2</v>
      </c>
      <c r="E100" s="1"/>
      <c r="F100" s="1"/>
      <c r="G100" s="20"/>
    </row>
    <row r="101" spans="1:7">
      <c r="A101" s="16">
        <v>39722</v>
      </c>
      <c r="B101" s="17">
        <v>38.286330999999997</v>
      </c>
      <c r="C101" s="1">
        <f t="shared" si="1"/>
        <v>-0.17069903536275444</v>
      </c>
      <c r="E101" s="1"/>
      <c r="F101" s="1"/>
      <c r="G101" s="1">
        <v>-8.4000000000000005E-2</v>
      </c>
    </row>
    <row r="102" spans="1:7">
      <c r="A102" s="16">
        <v>39753</v>
      </c>
      <c r="B102" s="17">
        <v>35.217686</v>
      </c>
      <c r="C102" s="1">
        <f t="shared" si="1"/>
        <v>-8.0149884302050167E-2</v>
      </c>
      <c r="E102" s="1"/>
      <c r="F102" s="1"/>
      <c r="G102" s="20"/>
    </row>
    <row r="103" spans="1:7">
      <c r="A103" s="16">
        <v>39783</v>
      </c>
      <c r="B103" s="17">
        <v>35.567497000000003</v>
      </c>
      <c r="C103" s="1">
        <f t="shared" si="1"/>
        <v>9.9328218213996511E-3</v>
      </c>
      <c r="E103" s="1"/>
      <c r="F103" s="1"/>
      <c r="G103" s="20"/>
    </row>
    <row r="104" spans="1:7">
      <c r="A104" s="16">
        <v>39814</v>
      </c>
      <c r="B104" s="17">
        <v>32.955849000000001</v>
      </c>
      <c r="C104" s="1">
        <f t="shared" si="1"/>
        <v>-7.342793899722555E-2</v>
      </c>
      <c r="E104" s="1"/>
      <c r="F104" s="1"/>
      <c r="G104" s="1">
        <v>-4.4000000000000004E-2</v>
      </c>
    </row>
    <row r="105" spans="1:7">
      <c r="A105" s="16">
        <v>39845</v>
      </c>
      <c r="B105" s="17">
        <v>29.487231999999999</v>
      </c>
      <c r="C105" s="1">
        <f t="shared" si="1"/>
        <v>-0.1052504215564285</v>
      </c>
      <c r="E105" s="1"/>
      <c r="F105" s="1"/>
      <c r="G105" s="20"/>
    </row>
    <row r="106" spans="1:7">
      <c r="A106" s="16">
        <v>39873</v>
      </c>
      <c r="B106" s="17">
        <v>31.706181999999998</v>
      </c>
      <c r="C106" s="1">
        <f t="shared" si="1"/>
        <v>7.5251213813490425E-2</v>
      </c>
      <c r="E106" s="1"/>
      <c r="F106" s="1"/>
      <c r="G106" s="20"/>
    </row>
    <row r="107" spans="1:7">
      <c r="A107" s="16">
        <v>39904</v>
      </c>
      <c r="B107" s="17">
        <v>35.435318000000002</v>
      </c>
      <c r="C107" s="1">
        <f t="shared" si="1"/>
        <v>0.11761542275888037</v>
      </c>
      <c r="E107" s="1"/>
      <c r="F107" s="1"/>
      <c r="G107" s="1">
        <v>-6.0000000000000001E-3</v>
      </c>
    </row>
    <row r="108" spans="1:7">
      <c r="A108" s="16">
        <v>39934</v>
      </c>
      <c r="B108" s="17">
        <v>37.371234999999999</v>
      </c>
      <c r="C108" s="1">
        <f t="shared" si="1"/>
        <v>5.4632415038577964E-2</v>
      </c>
      <c r="E108" s="1"/>
      <c r="F108" s="1"/>
      <c r="G108" s="20"/>
    </row>
    <row r="109" spans="1:7">
      <c r="A109" s="16">
        <v>39965</v>
      </c>
      <c r="B109" s="17">
        <v>37.322837999999997</v>
      </c>
      <c r="C109" s="1">
        <f t="shared" si="1"/>
        <v>-1.2950334662474861E-3</v>
      </c>
      <c r="E109" s="1"/>
      <c r="F109" s="1"/>
      <c r="G109" s="20"/>
    </row>
    <row r="110" spans="1:7">
      <c r="A110" s="16">
        <v>39995</v>
      </c>
      <c r="B110" s="17">
        <v>40.410614000000002</v>
      </c>
      <c r="C110" s="1">
        <f t="shared" si="1"/>
        <v>8.2731543619485981E-2</v>
      </c>
      <c r="E110" s="1"/>
      <c r="F110" s="1"/>
      <c r="G110" s="1">
        <v>1.4999999999999999E-2</v>
      </c>
    </row>
    <row r="111" spans="1:7">
      <c r="A111" s="16">
        <v>40026</v>
      </c>
      <c r="B111" s="17">
        <v>41.910308999999998</v>
      </c>
      <c r="C111" s="1">
        <f t="shared" ref="C111:C142" si="2">(B111/B110)-1</f>
        <v>3.7111413352937328E-2</v>
      </c>
      <c r="E111" s="1"/>
      <c r="F111" s="1"/>
      <c r="G111" s="20"/>
    </row>
    <row r="112" spans="1:7">
      <c r="A112" s="16">
        <v>40057</v>
      </c>
      <c r="B112" s="17">
        <v>43.442416999999999</v>
      </c>
      <c r="C112" s="1">
        <f t="shared" si="2"/>
        <v>3.6556829013119518E-2</v>
      </c>
      <c r="E112" s="1"/>
      <c r="F112" s="1"/>
      <c r="G112" s="20"/>
    </row>
    <row r="113" spans="1:7">
      <c r="A113" s="16">
        <v>40087</v>
      </c>
      <c r="B113" s="17">
        <v>42.494391999999998</v>
      </c>
      <c r="C113" s="1">
        <f t="shared" si="2"/>
        <v>-2.1822565719582299E-2</v>
      </c>
      <c r="E113" s="1"/>
      <c r="F113" s="1"/>
      <c r="G113" s="1">
        <v>4.4999999999999998E-2</v>
      </c>
    </row>
    <row r="114" spans="1:7">
      <c r="A114" s="16">
        <v>40118</v>
      </c>
      <c r="B114" s="17">
        <v>44.913105000000002</v>
      </c>
      <c r="C114" s="1">
        <f t="shared" si="2"/>
        <v>5.6918404668550249E-2</v>
      </c>
      <c r="E114" s="1"/>
      <c r="F114" s="1"/>
      <c r="G114" s="20"/>
    </row>
    <row r="115" spans="1:7">
      <c r="A115" s="16">
        <v>40148</v>
      </c>
      <c r="B115" s="17">
        <v>45.906661999999997</v>
      </c>
      <c r="C115" s="1">
        <f t="shared" si="2"/>
        <v>2.2121761566028297E-2</v>
      </c>
      <c r="E115" s="1"/>
      <c r="F115" s="1"/>
      <c r="G115" s="20"/>
    </row>
    <row r="116" spans="1:7">
      <c r="A116" s="16">
        <v>40179</v>
      </c>
      <c r="B116" s="17">
        <v>44.551689000000003</v>
      </c>
      <c r="C116" s="1">
        <f t="shared" si="2"/>
        <v>-2.9515824958041947E-2</v>
      </c>
      <c r="E116" s="1"/>
      <c r="F116" s="1"/>
      <c r="G116" s="1">
        <v>1.4999999999999999E-2</v>
      </c>
    </row>
    <row r="117" spans="1:7">
      <c r="A117" s="16">
        <v>40210</v>
      </c>
      <c r="B117" s="17">
        <v>46.084277999999998</v>
      </c>
      <c r="C117" s="1">
        <f t="shared" si="2"/>
        <v>3.4400244623722154E-2</v>
      </c>
      <c r="E117" s="1"/>
      <c r="F117" s="1"/>
      <c r="G117" s="20"/>
    </row>
    <row r="118" spans="1:7">
      <c r="A118" s="16">
        <v>40238</v>
      </c>
      <c r="B118" s="17">
        <v>48.83802</v>
      </c>
      <c r="C118" s="1">
        <f t="shared" si="2"/>
        <v>5.9754478523022625E-2</v>
      </c>
      <c r="E118" s="1"/>
      <c r="F118" s="1"/>
      <c r="G118" s="20"/>
    </row>
    <row r="119" spans="1:7">
      <c r="A119" s="16">
        <v>40269</v>
      </c>
      <c r="B119" s="17">
        <v>50.101379000000001</v>
      </c>
      <c r="C119" s="1">
        <f t="shared" si="2"/>
        <v>2.5868350109197635E-2</v>
      </c>
      <c r="E119" s="1"/>
      <c r="F119" s="1"/>
      <c r="G119" s="1">
        <v>3.7000000000000005E-2</v>
      </c>
    </row>
    <row r="120" spans="1:7">
      <c r="A120" s="16">
        <v>40299</v>
      </c>
      <c r="B120" s="17">
        <v>46.151854999999998</v>
      </c>
      <c r="C120" s="1">
        <f t="shared" si="2"/>
        <v>-7.8830644561699637E-2</v>
      </c>
      <c r="E120" s="1"/>
      <c r="F120" s="1"/>
      <c r="G120" s="20"/>
    </row>
    <row r="121" spans="1:7">
      <c r="A121" s="16">
        <v>40330</v>
      </c>
      <c r="B121" s="17">
        <v>43.247314000000003</v>
      </c>
      <c r="C121" s="1">
        <f t="shared" si="2"/>
        <v>-6.2934436763159241E-2</v>
      </c>
      <c r="E121" s="1"/>
      <c r="F121" s="1"/>
      <c r="G121" s="20"/>
    </row>
    <row r="122" spans="1:7">
      <c r="A122" s="16">
        <v>40360</v>
      </c>
      <c r="B122" s="17">
        <v>46.507229000000002</v>
      </c>
      <c r="C122" s="1">
        <f t="shared" si="2"/>
        <v>7.5378438531465752E-2</v>
      </c>
      <c r="E122" s="1"/>
      <c r="F122" s="1"/>
      <c r="G122" s="1">
        <v>0.03</v>
      </c>
    </row>
    <row r="123" spans="1:7">
      <c r="A123" s="16">
        <v>40391</v>
      </c>
      <c r="B123" s="17">
        <v>44.316226999999998</v>
      </c>
      <c r="C123" s="1">
        <f t="shared" si="2"/>
        <v>-4.7110998593358544E-2</v>
      </c>
      <c r="E123" s="1"/>
      <c r="F123" s="1"/>
      <c r="G123" s="20"/>
    </row>
    <row r="124" spans="1:7">
      <c r="A124" s="16">
        <v>40422</v>
      </c>
      <c r="B124" s="17">
        <v>48.260033</v>
      </c>
      <c r="C124" s="1">
        <f t="shared" si="2"/>
        <v>8.8992368416201284E-2</v>
      </c>
      <c r="E124" s="1"/>
      <c r="F124" s="1"/>
      <c r="G124" s="20"/>
    </row>
    <row r="125" spans="1:7">
      <c r="A125" s="16">
        <v>40452</v>
      </c>
      <c r="B125" s="17">
        <v>50.463206999999997</v>
      </c>
      <c r="C125" s="1">
        <f t="shared" si="2"/>
        <v>4.5652144498119052E-2</v>
      </c>
      <c r="E125" s="1"/>
      <c r="F125" s="1"/>
      <c r="G125" s="1">
        <v>0.02</v>
      </c>
    </row>
    <row r="126" spans="1:7">
      <c r="A126" s="16">
        <v>40483</v>
      </c>
      <c r="B126" s="17">
        <v>50.720844</v>
      </c>
      <c r="C126" s="1">
        <f t="shared" si="2"/>
        <v>5.1054424662309028E-3</v>
      </c>
      <c r="E126" s="1"/>
      <c r="F126" s="1"/>
      <c r="G126" s="20"/>
    </row>
    <row r="127" spans="1:7">
      <c r="A127" s="16">
        <v>40513</v>
      </c>
      <c r="B127" s="17">
        <v>53.962051000000002</v>
      </c>
      <c r="C127" s="1">
        <f t="shared" si="2"/>
        <v>6.3902860133794315E-2</v>
      </c>
      <c r="E127" s="1"/>
      <c r="F127" s="1"/>
      <c r="G127" s="20"/>
    </row>
    <row r="128" spans="1:7">
      <c r="A128" s="16">
        <v>40544</v>
      </c>
      <c r="B128" s="17">
        <v>55.36195</v>
      </c>
      <c r="C128" s="1">
        <f t="shared" si="2"/>
        <v>2.5942286737766773E-2</v>
      </c>
      <c r="E128" s="1"/>
      <c r="F128" s="1"/>
      <c r="G128" s="1">
        <v>-0.01</v>
      </c>
    </row>
    <row r="129" spans="1:7">
      <c r="A129" s="16">
        <v>40575</v>
      </c>
      <c r="B129" s="17">
        <v>57.409004000000003</v>
      </c>
      <c r="C129" s="1">
        <f t="shared" si="2"/>
        <v>3.6975829066714594E-2</v>
      </c>
      <c r="D129" s="26">
        <v>1057.97</v>
      </c>
      <c r="E129" s="1"/>
      <c r="F129" s="1"/>
      <c r="G129" s="20"/>
    </row>
    <row r="130" spans="1:7">
      <c r="A130" s="16">
        <v>40603</v>
      </c>
      <c r="B130" s="17">
        <v>57.409004000000003</v>
      </c>
      <c r="C130" s="1">
        <f t="shared" si="2"/>
        <v>0</v>
      </c>
      <c r="D130" s="26">
        <v>1059.26</v>
      </c>
      <c r="E130" s="1">
        <f t="shared" ref="E130:E142" si="3">(D130/D129)-1</f>
        <v>1.2193162377005518E-3</v>
      </c>
      <c r="F130" s="1">
        <f>C130-E130</f>
        <v>-1.2193162377005518E-3</v>
      </c>
      <c r="G130" s="20"/>
    </row>
    <row r="131" spans="1:7">
      <c r="A131" s="16">
        <v>40634</v>
      </c>
      <c r="B131" s="17">
        <v>59.318931999999997</v>
      </c>
      <c r="C131" s="1">
        <f t="shared" si="2"/>
        <v>3.3268788289725348E-2</v>
      </c>
      <c r="D131" s="26">
        <v>1029.06</v>
      </c>
      <c r="E131" s="1">
        <f t="shared" si="3"/>
        <v>-2.8510469573098218E-2</v>
      </c>
      <c r="F131" s="1">
        <f t="shared" ref="F131:F194" si="4">C131-E131</f>
        <v>6.1779257862823567E-2</v>
      </c>
      <c r="G131" s="1">
        <v>2.8999999999999998E-2</v>
      </c>
    </row>
    <row r="132" spans="1:7">
      <c r="A132" s="16">
        <v>40664</v>
      </c>
      <c r="B132" s="17">
        <v>58.689644000000001</v>
      </c>
      <c r="C132" s="1">
        <f t="shared" si="2"/>
        <v>-1.0608552426399021E-2</v>
      </c>
      <c r="D132" s="26">
        <v>1013.92</v>
      </c>
      <c r="E132" s="1">
        <f t="shared" si="3"/>
        <v>-1.4712456027831222E-2</v>
      </c>
      <c r="F132" s="1">
        <f t="shared" si="4"/>
        <v>4.1039036014322017E-3</v>
      </c>
      <c r="G132" s="20"/>
    </row>
    <row r="133" spans="1:7">
      <c r="A133" s="16">
        <v>40695</v>
      </c>
      <c r="B133" s="17">
        <v>57.389159999999997</v>
      </c>
      <c r="C133" s="1">
        <f t="shared" si="2"/>
        <v>-2.2158662267571461E-2</v>
      </c>
      <c r="D133">
        <v>994.31</v>
      </c>
      <c r="E133" s="1">
        <f t="shared" si="3"/>
        <v>-1.9340776392614778E-2</v>
      </c>
      <c r="F133" s="1">
        <f t="shared" si="4"/>
        <v>-2.8178858749566826E-3</v>
      </c>
      <c r="G133" s="20"/>
    </row>
    <row r="134" spans="1:7">
      <c r="A134" s="16">
        <v>40725</v>
      </c>
      <c r="B134" s="17">
        <v>56.327469000000001</v>
      </c>
      <c r="C134" s="1">
        <f t="shared" si="2"/>
        <v>-1.84998525854011E-2</v>
      </c>
      <c r="D134">
        <v>971.19</v>
      </c>
      <c r="E134" s="1">
        <f t="shared" si="3"/>
        <v>-2.3252305618971847E-2</v>
      </c>
      <c r="F134" s="1">
        <f t="shared" si="4"/>
        <v>4.7524530335707471E-3</v>
      </c>
      <c r="G134" s="1">
        <v>-1E-3</v>
      </c>
    </row>
    <row r="135" spans="1:7">
      <c r="A135" s="16">
        <v>40756</v>
      </c>
      <c r="B135" s="17">
        <v>52.898102000000002</v>
      </c>
      <c r="C135" s="1">
        <f t="shared" si="2"/>
        <v>-6.0882675200620184E-2</v>
      </c>
      <c r="D135">
        <v>910.79</v>
      </c>
      <c r="E135" s="1">
        <f t="shared" si="3"/>
        <v>-6.2191744148930805E-2</v>
      </c>
      <c r="F135" s="1">
        <f t="shared" si="4"/>
        <v>1.309068948310621E-3</v>
      </c>
      <c r="G135" s="20"/>
    </row>
    <row r="136" spans="1:7">
      <c r="A136" s="16">
        <v>40787</v>
      </c>
      <c r="B136" s="17">
        <v>48.634571000000001</v>
      </c>
      <c r="C136" s="1">
        <f t="shared" si="2"/>
        <v>-8.0598940960112331E-2</v>
      </c>
      <c r="D136">
        <v>838.76</v>
      </c>
      <c r="E136" s="1">
        <f t="shared" si="3"/>
        <v>-7.9085189780300547E-2</v>
      </c>
      <c r="F136" s="1">
        <f t="shared" si="4"/>
        <v>-1.5137511798117842E-3</v>
      </c>
      <c r="G136" s="20"/>
    </row>
    <row r="137" spans="1:7">
      <c r="A137" s="16">
        <v>40817</v>
      </c>
      <c r="B137" s="17">
        <v>54.449406000000003</v>
      </c>
      <c r="C137" s="1">
        <f t="shared" si="2"/>
        <v>0.11956176194090418</v>
      </c>
      <c r="D137">
        <v>933.56</v>
      </c>
      <c r="E137" s="1">
        <f t="shared" si="3"/>
        <v>0.11302398779150158</v>
      </c>
      <c r="F137" s="1">
        <f t="shared" si="4"/>
        <v>6.5377741494025976E-3</v>
      </c>
      <c r="G137" s="1">
        <v>4.7E-2</v>
      </c>
    </row>
    <row r="138" spans="1:7">
      <c r="A138" s="16">
        <v>40848</v>
      </c>
      <c r="B138" s="17">
        <v>54.246116999999998</v>
      </c>
      <c r="C138" s="1">
        <f t="shared" si="2"/>
        <v>-3.7335393521098492E-3</v>
      </c>
      <c r="D138">
        <v>927.78</v>
      </c>
      <c r="E138" s="1">
        <f t="shared" si="3"/>
        <v>-6.1913535284288113E-3</v>
      </c>
      <c r="F138" s="1">
        <f t="shared" si="4"/>
        <v>2.457814176318962E-3</v>
      </c>
      <c r="G138" s="20"/>
    </row>
    <row r="139" spans="1:7">
      <c r="A139" s="16">
        <v>40878</v>
      </c>
      <c r="B139" s="17">
        <v>54.466351000000003</v>
      </c>
      <c r="C139" s="1">
        <f t="shared" si="2"/>
        <v>4.0599034950281609E-3</v>
      </c>
      <c r="D139">
        <v>934.08</v>
      </c>
      <c r="E139" s="1">
        <f t="shared" si="3"/>
        <v>6.7904028972385344E-3</v>
      </c>
      <c r="F139" s="1">
        <f t="shared" si="4"/>
        <v>-2.7304994022103735E-3</v>
      </c>
      <c r="G139" s="20"/>
    </row>
    <row r="140" spans="1:7">
      <c r="A140" s="16">
        <v>40909</v>
      </c>
      <c r="B140" s="17">
        <v>57.553288000000002</v>
      </c>
      <c r="C140" s="1">
        <f t="shared" si="2"/>
        <v>5.6676038385607974E-2</v>
      </c>
      <c r="D140">
        <v>980.01</v>
      </c>
      <c r="E140" s="1">
        <f t="shared" si="3"/>
        <v>4.9171377183967024E-2</v>
      </c>
      <c r="F140" s="1">
        <f t="shared" si="4"/>
        <v>7.5046612016409497E-3</v>
      </c>
      <c r="G140" s="1">
        <v>3.2000000000000001E-2</v>
      </c>
    </row>
    <row r="141" spans="1:7">
      <c r="A141" s="16">
        <v>40940</v>
      </c>
      <c r="B141" s="17">
        <v>59.981144</v>
      </c>
      <c r="C141" s="1">
        <f t="shared" si="2"/>
        <v>4.2184488225937677E-2</v>
      </c>
      <c r="D141" s="26">
        <v>1019.47</v>
      </c>
      <c r="E141" s="1">
        <f t="shared" si="3"/>
        <v>4.026489525617083E-2</v>
      </c>
      <c r="F141" s="1">
        <f t="shared" si="4"/>
        <v>1.9195929697668479E-3</v>
      </c>
      <c r="G141" s="20"/>
    </row>
    <row r="142" spans="1:7">
      <c r="A142" s="16">
        <v>40969</v>
      </c>
      <c r="B142" s="17">
        <v>61.557129000000003</v>
      </c>
      <c r="C142" s="1">
        <f t="shared" si="2"/>
        <v>2.6274673920857472E-2</v>
      </c>
      <c r="D142" s="26">
        <v>1048.9100000000001</v>
      </c>
      <c r="E142" s="1">
        <f t="shared" si="3"/>
        <v>2.8877750203537111E-2</v>
      </c>
      <c r="F142" s="1">
        <f t="shared" si="4"/>
        <v>-2.6030762826796394E-3</v>
      </c>
      <c r="G142" s="20"/>
    </row>
    <row r="143" spans="1:7">
      <c r="A143" s="16">
        <v>41000</v>
      </c>
      <c r="B143" s="17">
        <v>61.427638999999999</v>
      </c>
      <c r="C143" s="1">
        <f t="shared" ref="C143:C206" si="5">(B143/B142)-1</f>
        <v>-2.103574388597651E-3</v>
      </c>
      <c r="D143" s="26">
        <v>1040.32</v>
      </c>
      <c r="E143" s="1">
        <f t="shared" ref="E143:E206" si="6">(D143/D142)-1</f>
        <v>-8.1894538139594131E-3</v>
      </c>
      <c r="F143" s="1">
        <f t="shared" si="4"/>
        <v>6.0858794253617621E-3</v>
      </c>
      <c r="G143" s="1">
        <v>1.7000000000000001E-2</v>
      </c>
    </row>
    <row r="144" spans="1:7">
      <c r="A144" s="16">
        <v>41030</v>
      </c>
      <c r="B144" s="17">
        <v>57.603400999999998</v>
      </c>
      <c r="C144" s="1">
        <f t="shared" si="5"/>
        <v>-6.2255982197199522E-2</v>
      </c>
      <c r="D144">
        <v>973.52</v>
      </c>
      <c r="E144" s="1">
        <f t="shared" si="6"/>
        <v>-6.4211011996308742E-2</v>
      </c>
      <c r="F144" s="1">
        <f t="shared" si="4"/>
        <v>1.9550297991092203E-3</v>
      </c>
      <c r="G144" s="20"/>
    </row>
    <row r="145" spans="1:7">
      <c r="A145" s="16">
        <v>41061</v>
      </c>
      <c r="B145" s="17">
        <v>59.631027000000003</v>
      </c>
      <c r="C145" s="1">
        <f t="shared" si="5"/>
        <v>3.519976190294738E-2</v>
      </c>
      <c r="D145" s="26">
        <v>1010.35</v>
      </c>
      <c r="E145" s="1">
        <f t="shared" si="6"/>
        <v>3.783178568493728E-2</v>
      </c>
      <c r="F145" s="1">
        <f t="shared" si="4"/>
        <v>-2.6320237819899006E-3</v>
      </c>
      <c r="G145" s="20"/>
    </row>
    <row r="146" spans="1:7">
      <c r="A146" s="16">
        <v>41091</v>
      </c>
      <c r="B146" s="17">
        <v>60.458035000000002</v>
      </c>
      <c r="C146" s="1">
        <f t="shared" si="5"/>
        <v>1.3868753258265976E-2</v>
      </c>
      <c r="D146" s="26">
        <v>1019.27</v>
      </c>
      <c r="E146" s="1">
        <f t="shared" si="6"/>
        <v>8.8286237442469773E-3</v>
      </c>
      <c r="F146" s="1">
        <f t="shared" si="4"/>
        <v>5.0401295140189983E-3</v>
      </c>
      <c r="G146" s="1">
        <v>5.0000000000000001E-3</v>
      </c>
    </row>
    <row r="147" spans="1:7">
      <c r="A147" s="16">
        <v>41122</v>
      </c>
      <c r="B147" s="17">
        <v>62.091819999999998</v>
      </c>
      <c r="C147" s="1">
        <f t="shared" si="5"/>
        <v>2.7023455194995938E-2</v>
      </c>
      <c r="D147" s="26">
        <v>1041.8</v>
      </c>
      <c r="E147" s="1">
        <f t="shared" si="6"/>
        <v>2.2104054862793987E-2</v>
      </c>
      <c r="F147" s="1">
        <f t="shared" si="4"/>
        <v>4.9194003322019508E-3</v>
      </c>
      <c r="G147" s="20"/>
    </row>
    <row r="148" spans="1:7">
      <c r="A148" s="16">
        <v>41153</v>
      </c>
      <c r="B148" s="17">
        <v>63.330055000000002</v>
      </c>
      <c r="C148" s="1">
        <f t="shared" si="5"/>
        <v>1.9941998801130456E-2</v>
      </c>
      <c r="D148" s="26">
        <v>1066.97</v>
      </c>
      <c r="E148" s="1">
        <f t="shared" si="6"/>
        <v>2.4160107506239203E-2</v>
      </c>
      <c r="F148" s="1">
        <f t="shared" si="4"/>
        <v>-4.2181087051087474E-3</v>
      </c>
      <c r="G148" s="20"/>
    </row>
    <row r="149" spans="1:7">
      <c r="A149" s="16">
        <v>41183</v>
      </c>
      <c r="B149" s="17">
        <v>62.489539999999998</v>
      </c>
      <c r="C149" s="1">
        <f t="shared" si="5"/>
        <v>-1.3271976473097968E-2</v>
      </c>
      <c r="D149" s="26">
        <v>1046.45</v>
      </c>
      <c r="E149" s="1">
        <f t="shared" si="6"/>
        <v>-1.9232030891215279E-2</v>
      </c>
      <c r="F149" s="1">
        <f t="shared" si="4"/>
        <v>5.960054418117311E-3</v>
      </c>
      <c r="G149" s="1">
        <v>5.0000000000000001E-3</v>
      </c>
    </row>
    <row r="150" spans="1:7">
      <c r="A150" s="16">
        <v>41214</v>
      </c>
      <c r="B150" s="17">
        <v>62.973407999999999</v>
      </c>
      <c r="C150" s="1">
        <f t="shared" si="5"/>
        <v>7.7431838992574331E-3</v>
      </c>
      <c r="D150" s="26">
        <v>1051.3499999999999</v>
      </c>
      <c r="E150" s="1">
        <f t="shared" si="6"/>
        <v>4.6824979693247393E-3</v>
      </c>
      <c r="F150" s="1">
        <f t="shared" si="4"/>
        <v>3.0606859299326938E-3</v>
      </c>
      <c r="G150" s="20"/>
    </row>
    <row r="151" spans="1:7">
      <c r="A151" s="16">
        <v>41244</v>
      </c>
      <c r="B151" s="17">
        <v>63.319042000000003</v>
      </c>
      <c r="C151" s="1">
        <f t="shared" si="5"/>
        <v>5.4885706677969548E-3</v>
      </c>
      <c r="D151" s="26">
        <v>1061.05</v>
      </c>
      <c r="E151" s="1">
        <f t="shared" si="6"/>
        <v>9.2262329386028075E-3</v>
      </c>
      <c r="F151" s="1">
        <f t="shared" si="4"/>
        <v>-3.7376622708058527E-3</v>
      </c>
      <c r="G151" s="20"/>
    </row>
    <row r="152" spans="1:7">
      <c r="A152" s="16">
        <v>41275</v>
      </c>
      <c r="B152" s="17">
        <v>67.243285999999998</v>
      </c>
      <c r="C152" s="1">
        <f t="shared" si="5"/>
        <v>6.1975732355521007E-2</v>
      </c>
      <c r="D152" s="26">
        <v>1118.27</v>
      </c>
      <c r="E152" s="1">
        <f t="shared" si="6"/>
        <v>5.3927713114367837E-2</v>
      </c>
      <c r="F152" s="1">
        <f t="shared" si="4"/>
        <v>8.0480192411531704E-3</v>
      </c>
      <c r="G152" s="1">
        <v>3.6000000000000004E-2</v>
      </c>
    </row>
    <row r="153" spans="1:7">
      <c r="A153" s="16">
        <v>41306</v>
      </c>
      <c r="B153" s="17">
        <v>68.105063999999999</v>
      </c>
      <c r="C153" s="1">
        <f t="shared" si="5"/>
        <v>1.2815822236884822E-2</v>
      </c>
      <c r="D153" s="26">
        <v>1130.3800000000001</v>
      </c>
      <c r="E153" s="1">
        <f t="shared" si="6"/>
        <v>1.0829227288579713E-2</v>
      </c>
      <c r="F153" s="1">
        <f t="shared" si="4"/>
        <v>1.9865949483051093E-3</v>
      </c>
      <c r="G153" s="20"/>
    </row>
    <row r="154" spans="1:7">
      <c r="A154" s="16">
        <v>41334</v>
      </c>
      <c r="B154" s="17">
        <v>70.472717000000003</v>
      </c>
      <c r="C154" s="1">
        <f t="shared" si="5"/>
        <v>3.4764712944106435E-2</v>
      </c>
      <c r="D154" s="26">
        <v>1172.97</v>
      </c>
      <c r="E154" s="1">
        <f t="shared" si="6"/>
        <v>3.7677595144995468E-2</v>
      </c>
      <c r="F154" s="1">
        <f t="shared" si="4"/>
        <v>-2.9128822008890332E-3</v>
      </c>
      <c r="G154" s="20"/>
    </row>
    <row r="155" spans="1:7">
      <c r="A155" s="16">
        <v>41365</v>
      </c>
      <c r="B155" s="17">
        <v>71.930938999999995</v>
      </c>
      <c r="C155" s="1">
        <f t="shared" si="5"/>
        <v>2.0692007660212619E-2</v>
      </c>
      <c r="D155" s="26">
        <v>1191.5999999999999</v>
      </c>
      <c r="E155" s="1">
        <f t="shared" si="6"/>
        <v>1.5882759149850267E-2</v>
      </c>
      <c r="F155" s="1">
        <f t="shared" si="4"/>
        <v>4.8092485103623517E-3</v>
      </c>
      <c r="G155" s="1">
        <v>5.0000000000000001E-3</v>
      </c>
    </row>
    <row r="156" spans="1:7">
      <c r="A156" s="16">
        <v>41395</v>
      </c>
      <c r="B156" s="17">
        <v>73.688582999999994</v>
      </c>
      <c r="C156" s="1">
        <f t="shared" si="5"/>
        <v>2.4435159952520547E-2</v>
      </c>
      <c r="D156" s="26">
        <v>1217.03</v>
      </c>
      <c r="E156" s="1">
        <f t="shared" si="6"/>
        <v>2.1341054044981655E-2</v>
      </c>
      <c r="F156" s="1">
        <f t="shared" si="4"/>
        <v>3.094105907538891E-3</v>
      </c>
      <c r="G156" s="20"/>
    </row>
    <row r="157" spans="1:7">
      <c r="A157" s="16">
        <v>41426</v>
      </c>
      <c r="B157" s="17">
        <v>72.289482000000007</v>
      </c>
      <c r="C157" s="1">
        <f t="shared" si="5"/>
        <v>-1.898667260299991E-2</v>
      </c>
      <c r="D157" s="26">
        <v>1199.94</v>
      </c>
      <c r="E157" s="1">
        <f t="shared" si="6"/>
        <v>-1.404238186404605E-2</v>
      </c>
      <c r="F157" s="1">
        <f t="shared" si="4"/>
        <v>-4.9442907389538604E-3</v>
      </c>
      <c r="G157" s="20"/>
    </row>
    <row r="158" spans="1:7">
      <c r="A158" s="16">
        <v>41456</v>
      </c>
      <c r="B158" s="17">
        <v>76.802970999999999</v>
      </c>
      <c r="C158" s="1">
        <f t="shared" si="5"/>
        <v>6.2436316807471304E-2</v>
      </c>
      <c r="D158" s="26">
        <v>1264.2</v>
      </c>
      <c r="E158" s="1">
        <f t="shared" si="6"/>
        <v>5.3552677633881718E-2</v>
      </c>
      <c r="F158" s="1">
        <f t="shared" si="4"/>
        <v>8.8836391735895859E-3</v>
      </c>
      <c r="G158" s="1">
        <v>3.2000000000000001E-2</v>
      </c>
    </row>
    <row r="159" spans="1:7">
      <c r="A159" s="16">
        <v>41487</v>
      </c>
      <c r="B159" s="17">
        <v>74.474830999999995</v>
      </c>
      <c r="C159" s="1">
        <f t="shared" si="5"/>
        <v>-3.0313150255606658E-2</v>
      </c>
      <c r="D159" s="26">
        <v>1225.97</v>
      </c>
      <c r="E159" s="1">
        <f t="shared" si="6"/>
        <v>-3.0240468280335442E-2</v>
      </c>
      <c r="F159" s="1">
        <f t="shared" si="4"/>
        <v>-7.2681975271216004E-5</v>
      </c>
      <c r="G159" s="20"/>
    </row>
    <row r="160" spans="1:7">
      <c r="A160" s="16">
        <v>41518</v>
      </c>
      <c r="B160" s="17">
        <v>77.005043000000001</v>
      </c>
      <c r="C160" s="1">
        <f t="shared" si="5"/>
        <v>3.3974054939446718E-2</v>
      </c>
      <c r="D160" s="26">
        <v>1269.22</v>
      </c>
      <c r="E160" s="1">
        <f t="shared" si="6"/>
        <v>3.5278187883879708E-2</v>
      </c>
      <c r="F160" s="1">
        <f t="shared" si="4"/>
        <v>-1.3041329444329897E-3</v>
      </c>
      <c r="G160" s="20"/>
    </row>
    <row r="161" spans="1:7">
      <c r="A161" s="16">
        <v>41548</v>
      </c>
      <c r="B161" s="17">
        <v>80.678855999999996</v>
      </c>
      <c r="C161" s="1">
        <f t="shared" si="5"/>
        <v>4.7708732530673315E-2</v>
      </c>
      <c r="D161" s="26">
        <v>1321.54</v>
      </c>
      <c r="E161" s="1">
        <f t="shared" si="6"/>
        <v>4.1222167945667465E-2</v>
      </c>
      <c r="F161" s="1">
        <f t="shared" si="4"/>
        <v>6.4865645850058495E-3</v>
      </c>
      <c r="G161" s="1">
        <v>3.2000000000000001E-2</v>
      </c>
    </row>
    <row r="162" spans="1:7">
      <c r="A162" s="16">
        <v>41579</v>
      </c>
      <c r="B162" s="17">
        <v>82.859359999999995</v>
      </c>
      <c r="C162" s="1">
        <f t="shared" si="5"/>
        <v>2.7026957348031733E-2</v>
      </c>
      <c r="D162" s="26">
        <v>1356.77</v>
      </c>
      <c r="E162" s="1">
        <f t="shared" si="6"/>
        <v>2.6658292598029654E-2</v>
      </c>
      <c r="F162" s="1">
        <f t="shared" si="4"/>
        <v>3.6866475000207899E-4</v>
      </c>
      <c r="G162" s="20"/>
    </row>
    <row r="163" spans="1:7">
      <c r="A163" s="16">
        <v>41609</v>
      </c>
      <c r="B163" s="17">
        <v>84.677932999999996</v>
      </c>
      <c r="C163" s="1">
        <f t="shared" si="5"/>
        <v>2.1947707537205208E-2</v>
      </c>
      <c r="D163" s="26">
        <v>1390.49</v>
      </c>
      <c r="E163" s="1">
        <f t="shared" si="6"/>
        <v>2.4853143863735161E-2</v>
      </c>
      <c r="F163" s="1">
        <f t="shared" si="4"/>
        <v>-2.9054363265299532E-3</v>
      </c>
      <c r="G163" s="20"/>
    </row>
    <row r="164" spans="1:7">
      <c r="A164" s="16">
        <v>41640</v>
      </c>
      <c r="B164" s="17">
        <v>82.426475999999994</v>
      </c>
      <c r="C164" s="1">
        <f t="shared" si="5"/>
        <v>-2.6588473764469489E-2</v>
      </c>
      <c r="D164" s="26">
        <v>1346.38</v>
      </c>
      <c r="E164" s="1">
        <f t="shared" si="6"/>
        <v>-3.1722630151960751E-2</v>
      </c>
      <c r="F164" s="1">
        <f t="shared" si="4"/>
        <v>5.1341563874912621E-3</v>
      </c>
      <c r="G164" s="1">
        <v>-0.01</v>
      </c>
    </row>
    <row r="165" spans="1:7">
      <c r="A165" s="16">
        <v>41671</v>
      </c>
      <c r="B165" s="17">
        <v>86.437759</v>
      </c>
      <c r="C165" s="1">
        <f t="shared" si="5"/>
        <v>4.8664982353485708E-2</v>
      </c>
      <c r="D165" s="26">
        <v>1407.02</v>
      </c>
      <c r="E165" s="1">
        <f t="shared" si="6"/>
        <v>4.5039290542046029E-2</v>
      </c>
      <c r="F165" s="1">
        <f t="shared" si="4"/>
        <v>3.6256918114396797E-3</v>
      </c>
      <c r="G165" s="20"/>
    </row>
    <row r="166" spans="1:7">
      <c r="A166" s="16">
        <v>41699</v>
      </c>
      <c r="B166" s="17">
        <v>86.499877999999995</v>
      </c>
      <c r="C166" s="1">
        <f t="shared" si="5"/>
        <v>7.1865583650776443E-4</v>
      </c>
      <c r="D166" s="26">
        <v>1412.27</v>
      </c>
      <c r="E166" s="1">
        <f t="shared" si="6"/>
        <v>3.7312902446304808E-3</v>
      </c>
      <c r="F166" s="1">
        <f t="shared" si="4"/>
        <v>-3.0126344081227163E-3</v>
      </c>
      <c r="G166" s="20"/>
    </row>
    <row r="167" spans="1:7">
      <c r="A167" s="16">
        <v>41730</v>
      </c>
      <c r="B167" s="17">
        <v>86.931533999999999</v>
      </c>
      <c r="C167" s="1">
        <f t="shared" si="5"/>
        <v>4.9902498128380213E-3</v>
      </c>
      <c r="D167" s="26">
        <v>1411.75</v>
      </c>
      <c r="E167" s="1">
        <f t="shared" si="6"/>
        <v>-3.6820154786265658E-4</v>
      </c>
      <c r="F167" s="1">
        <f t="shared" si="4"/>
        <v>5.3584513607006778E-3</v>
      </c>
      <c r="G167" s="1">
        <v>5.0999999999999997E-2</v>
      </c>
    </row>
    <row r="168" spans="1:7">
      <c r="A168" s="16">
        <v>41760</v>
      </c>
      <c r="B168" s="17">
        <v>88.758751000000004</v>
      </c>
      <c r="C168" s="1">
        <f t="shared" si="5"/>
        <v>2.1019035509024953E-2</v>
      </c>
      <c r="D168" s="26">
        <v>1439.54</v>
      </c>
      <c r="E168" s="1">
        <f t="shared" si="6"/>
        <v>1.9684788383212304E-2</v>
      </c>
      <c r="F168" s="1">
        <f t="shared" si="4"/>
        <v>1.3342471258126487E-3</v>
      </c>
      <c r="G168" s="20"/>
    </row>
    <row r="169" spans="1:7">
      <c r="A169" s="16">
        <v>41791</v>
      </c>
      <c r="B169" s="17">
        <v>90.710762000000003</v>
      </c>
      <c r="C169" s="1">
        <f t="shared" si="5"/>
        <v>2.1992321635981638E-2</v>
      </c>
      <c r="D169" s="26">
        <v>1474.01</v>
      </c>
      <c r="E169" s="1">
        <f t="shared" si="6"/>
        <v>2.3945149144865674E-2</v>
      </c>
      <c r="F169" s="1">
        <f t="shared" si="4"/>
        <v>-1.9528275088840363E-3</v>
      </c>
      <c r="G169" s="20"/>
    </row>
    <row r="170" spans="1:7">
      <c r="A170" s="16">
        <v>41821</v>
      </c>
      <c r="B170" s="17">
        <v>89.268433000000002</v>
      </c>
      <c r="C170" s="1">
        <f t="shared" si="5"/>
        <v>-1.5900307396822466E-2</v>
      </c>
      <c r="D170" s="26">
        <v>1443.42</v>
      </c>
      <c r="E170" s="1">
        <f t="shared" si="6"/>
        <v>-2.0752912124069711E-2</v>
      </c>
      <c r="F170" s="1">
        <f t="shared" si="4"/>
        <v>4.852604727247245E-3</v>
      </c>
      <c r="G170" s="1">
        <v>4.9000000000000002E-2</v>
      </c>
    </row>
    <row r="171" spans="1:7">
      <c r="A171" s="16">
        <v>41852</v>
      </c>
      <c r="B171" s="17">
        <v>92.973770000000002</v>
      </c>
      <c r="C171" s="1">
        <f t="shared" si="5"/>
        <v>4.1507808252890577E-2</v>
      </c>
      <c r="D171" s="26">
        <v>1500.73</v>
      </c>
      <c r="E171" s="1">
        <f t="shared" si="6"/>
        <v>3.9704313366864863E-2</v>
      </c>
      <c r="F171" s="1">
        <f t="shared" si="4"/>
        <v>1.8034948860257138E-3</v>
      </c>
      <c r="G171" s="20"/>
    </row>
    <row r="172" spans="1:7">
      <c r="A172" s="16">
        <v>41883</v>
      </c>
      <c r="B172" s="17">
        <v>90.610946999999996</v>
      </c>
      <c r="C172" s="1">
        <f t="shared" si="5"/>
        <v>-2.5413866728218104E-2</v>
      </c>
      <c r="D172" s="26">
        <v>1466.83</v>
      </c>
      <c r="E172" s="1">
        <f t="shared" si="6"/>
        <v>-2.2589006683414126E-2</v>
      </c>
      <c r="F172" s="1">
        <f t="shared" si="4"/>
        <v>-2.8248600448039785E-3</v>
      </c>
      <c r="G172" s="20"/>
    </row>
    <row r="173" spans="1:7">
      <c r="A173" s="16">
        <v>41913</v>
      </c>
      <c r="B173" s="17">
        <v>93.523933</v>
      </c>
      <c r="C173" s="1">
        <f t="shared" si="5"/>
        <v>3.2148278949120757E-2</v>
      </c>
      <c r="D173" s="26">
        <v>1505.48</v>
      </c>
      <c r="E173" s="1">
        <f t="shared" si="6"/>
        <v>2.6349338369136222E-2</v>
      </c>
      <c r="F173" s="1">
        <f t="shared" si="4"/>
        <v>5.798940579984535E-3</v>
      </c>
      <c r="G173" s="1">
        <v>1.9E-2</v>
      </c>
    </row>
    <row r="174" spans="1:7">
      <c r="A174" s="16">
        <v>41944</v>
      </c>
      <c r="B174" s="17">
        <v>95.843597000000003</v>
      </c>
      <c r="C174" s="1">
        <f t="shared" si="5"/>
        <v>2.4802891897200308E-2</v>
      </c>
      <c r="D174" s="26">
        <v>1538.78</v>
      </c>
      <c r="E174" s="1">
        <f t="shared" si="6"/>
        <v>2.2119191221404488E-2</v>
      </c>
      <c r="F174" s="1">
        <f t="shared" si="4"/>
        <v>2.6837006757958193E-3</v>
      </c>
      <c r="G174" s="20"/>
    </row>
    <row r="175" spans="1:7">
      <c r="A175" s="16">
        <v>41974</v>
      </c>
      <c r="B175" s="17">
        <v>95.304160999999993</v>
      </c>
      <c r="C175" s="1">
        <f t="shared" si="5"/>
        <v>-5.6282946058463512E-3</v>
      </c>
      <c r="D175" s="26">
        <v>1536.34</v>
      </c>
      <c r="E175" s="1">
        <f t="shared" si="6"/>
        <v>-1.5856717659444852E-3</v>
      </c>
      <c r="F175" s="1">
        <f t="shared" si="4"/>
        <v>-4.042622839901866E-3</v>
      </c>
      <c r="G175" s="20"/>
    </row>
    <row r="176" spans="1:7">
      <c r="A176" s="16">
        <v>42005</v>
      </c>
      <c r="B176" s="17">
        <v>93.185760000000002</v>
      </c>
      <c r="C176" s="1">
        <f t="shared" si="5"/>
        <v>-2.2227791292344423E-2</v>
      </c>
      <c r="D176" s="26">
        <v>1492.44</v>
      </c>
      <c r="E176" s="1">
        <f t="shared" si="6"/>
        <v>-2.8574404103258289E-2</v>
      </c>
      <c r="F176" s="1">
        <f t="shared" si="4"/>
        <v>6.3466128109138653E-3</v>
      </c>
      <c r="G176" s="1">
        <v>3.3000000000000002E-2</v>
      </c>
    </row>
    <row r="177" spans="1:7">
      <c r="A177" s="16">
        <v>42036</v>
      </c>
      <c r="B177" s="17">
        <v>98.536475999999993</v>
      </c>
      <c r="C177" s="1">
        <f t="shared" si="5"/>
        <v>5.7419889047425121E-2</v>
      </c>
      <c r="D177" s="26">
        <v>1575.17</v>
      </c>
      <c r="E177" s="1">
        <f t="shared" si="6"/>
        <v>5.5432714212966694E-2</v>
      </c>
      <c r="F177" s="1">
        <f t="shared" si="4"/>
        <v>1.9871748344584272E-3</v>
      </c>
      <c r="G177" s="20"/>
    </row>
    <row r="178" spans="1:7">
      <c r="A178" s="16">
        <v>42064</v>
      </c>
      <c r="B178" s="17">
        <v>96.936676000000006</v>
      </c>
      <c r="C178" s="1">
        <f t="shared" si="5"/>
        <v>-1.6235612079327777E-2</v>
      </c>
      <c r="D178" s="26">
        <v>1556.73</v>
      </c>
      <c r="E178" s="1">
        <f t="shared" si="6"/>
        <v>-1.170667293054084E-2</v>
      </c>
      <c r="F178" s="1">
        <f t="shared" si="4"/>
        <v>-4.5289391487869368E-3</v>
      </c>
      <c r="G178" s="20"/>
    </row>
    <row r="179" spans="1:7">
      <c r="A179" s="16">
        <v>42095</v>
      </c>
      <c r="B179" s="17">
        <v>97.989959999999996</v>
      </c>
      <c r="C179" s="1">
        <f t="shared" si="5"/>
        <v>1.0865691330286475E-2</v>
      </c>
      <c r="D179" s="26">
        <v>1561.87</v>
      </c>
      <c r="E179" s="1">
        <f t="shared" si="6"/>
        <v>3.3017928606757785E-3</v>
      </c>
      <c r="F179" s="1">
        <f t="shared" si="4"/>
        <v>7.563898469610697E-3</v>
      </c>
      <c r="G179" s="1">
        <v>3.3000000000000002E-2</v>
      </c>
    </row>
    <row r="180" spans="1:7">
      <c r="A180" s="16">
        <v>42125</v>
      </c>
      <c r="B180" s="17">
        <v>99.261261000000005</v>
      </c>
      <c r="C180" s="1">
        <f t="shared" si="5"/>
        <v>1.2973788335050029E-2</v>
      </c>
      <c r="D180" s="26">
        <v>1580.28</v>
      </c>
      <c r="E180" s="1">
        <f t="shared" si="6"/>
        <v>1.1787152579920246E-2</v>
      </c>
      <c r="F180" s="1">
        <f t="shared" si="4"/>
        <v>1.1866357551297835E-3</v>
      </c>
      <c r="G180" s="20"/>
    </row>
    <row r="181" spans="1:7">
      <c r="A181" s="16">
        <v>42156</v>
      </c>
      <c r="B181" s="17">
        <v>97.18177</v>
      </c>
      <c r="C181" s="1">
        <f t="shared" si="5"/>
        <v>-2.0949673407836378E-2</v>
      </c>
      <c r="D181" s="26">
        <v>1550.72</v>
      </c>
      <c r="E181" s="1">
        <f t="shared" si="6"/>
        <v>-1.8705545852633731E-2</v>
      </c>
      <c r="F181" s="1">
        <f t="shared" si="4"/>
        <v>-2.2441275552026463E-3</v>
      </c>
      <c r="G181" s="20"/>
    </row>
    <row r="182" spans="1:7">
      <c r="A182" s="16">
        <v>42186</v>
      </c>
      <c r="B182" s="17">
        <v>99.258544999999998</v>
      </c>
      <c r="C182" s="1">
        <f t="shared" si="5"/>
        <v>2.1370005917776602E-2</v>
      </c>
      <c r="D182" s="26">
        <v>1574.44</v>
      </c>
      <c r="E182" s="1">
        <f t="shared" si="6"/>
        <v>1.5296120511762323E-2</v>
      </c>
      <c r="F182" s="1">
        <f t="shared" si="4"/>
        <v>6.0738854060142788E-3</v>
      </c>
      <c r="G182" s="1">
        <v>0.01</v>
      </c>
    </row>
    <row r="183" spans="1:7">
      <c r="A183" s="16">
        <v>42217</v>
      </c>
      <c r="B183" s="17">
        <v>93.212181000000001</v>
      </c>
      <c r="C183" s="1">
        <f t="shared" si="5"/>
        <v>-6.0915299534160972E-2</v>
      </c>
      <c r="D183" s="26">
        <v>1476.98</v>
      </c>
      <c r="E183" s="1">
        <f t="shared" si="6"/>
        <v>-6.1901374456949765E-2</v>
      </c>
      <c r="F183" s="1">
        <f t="shared" si="4"/>
        <v>9.8607492278879327E-4</v>
      </c>
      <c r="G183" s="20"/>
    </row>
    <row r="184" spans="1:7">
      <c r="A184" s="16">
        <v>42248</v>
      </c>
      <c r="B184" s="17">
        <v>90.029396000000006</v>
      </c>
      <c r="C184" s="1">
        <f t="shared" si="5"/>
        <v>-3.4145590907265655E-2</v>
      </c>
      <c r="D184" s="26">
        <v>1431.07</v>
      </c>
      <c r="E184" s="1">
        <f t="shared" si="6"/>
        <v>-3.1083697815813438E-2</v>
      </c>
      <c r="F184" s="1">
        <f t="shared" si="4"/>
        <v>-3.0618930914522169E-3</v>
      </c>
      <c r="G184" s="20"/>
    </row>
    <row r="185" spans="1:7">
      <c r="A185" s="16">
        <v>42278</v>
      </c>
      <c r="B185" s="17">
        <v>97.646332000000001</v>
      </c>
      <c r="C185" s="1">
        <f t="shared" si="5"/>
        <v>8.4604988352915189E-2</v>
      </c>
      <c r="D185" s="26">
        <v>1541.82</v>
      </c>
      <c r="E185" s="1">
        <f t="shared" si="6"/>
        <v>7.7389645510002936E-2</v>
      </c>
      <c r="F185" s="1">
        <f t="shared" si="4"/>
        <v>7.2153428429122535E-3</v>
      </c>
      <c r="G185" s="1">
        <v>4.0000000000000001E-3</v>
      </c>
    </row>
    <row r="186" spans="1:7">
      <c r="A186" s="16">
        <v>42309</v>
      </c>
      <c r="B186" s="17">
        <v>98.232971000000006</v>
      </c>
      <c r="C186" s="1">
        <f t="shared" si="5"/>
        <v>6.0077935134317251E-3</v>
      </c>
      <c r="D186" s="26">
        <v>1546.77</v>
      </c>
      <c r="E186" s="1">
        <f t="shared" si="6"/>
        <v>3.2104914970618736E-3</v>
      </c>
      <c r="F186" s="1">
        <f t="shared" si="4"/>
        <v>2.7973020163698514E-3</v>
      </c>
      <c r="G186" s="20"/>
    </row>
    <row r="187" spans="1:7">
      <c r="A187" s="16">
        <v>42339</v>
      </c>
      <c r="B187" s="17">
        <v>95.602310000000003</v>
      </c>
      <c r="C187" s="1">
        <f t="shared" si="5"/>
        <v>-2.6779817134921058E-2</v>
      </c>
      <c r="D187" s="26">
        <v>1512.75</v>
      </c>
      <c r="E187" s="1">
        <f t="shared" si="6"/>
        <v>-2.199422021373576E-2</v>
      </c>
      <c r="F187" s="1">
        <f t="shared" si="4"/>
        <v>-4.7855969211852978E-3</v>
      </c>
      <c r="G187" s="20"/>
    </row>
    <row r="188" spans="1:7">
      <c r="A188" s="16">
        <v>42370</v>
      </c>
      <c r="B188" s="17">
        <v>90.643715</v>
      </c>
      <c r="C188" s="1">
        <f t="shared" si="5"/>
        <v>-5.1866895266442836E-2</v>
      </c>
      <c r="D188" s="26">
        <v>1425.61</v>
      </c>
      <c r="E188" s="1">
        <f t="shared" si="6"/>
        <v>-5.760370186746E-2</v>
      </c>
      <c r="F188" s="1">
        <f t="shared" si="4"/>
        <v>5.7368066010171637E-3</v>
      </c>
      <c r="G188" s="1">
        <v>1.4999999999999999E-2</v>
      </c>
    </row>
    <row r="189" spans="1:7">
      <c r="A189" s="16">
        <v>42401</v>
      </c>
      <c r="B189" s="17">
        <v>90.634490999999997</v>
      </c>
      <c r="C189" s="1">
        <f t="shared" si="5"/>
        <v>-1.0176105425518944E-4</v>
      </c>
      <c r="D189" s="26">
        <v>1421.63</v>
      </c>
      <c r="E189" s="1">
        <f t="shared" si="6"/>
        <v>-2.7917873752286715E-3</v>
      </c>
      <c r="F189" s="1">
        <f t="shared" si="4"/>
        <v>2.690026320973482E-3</v>
      </c>
      <c r="G189" s="20"/>
    </row>
    <row r="190" spans="1:7">
      <c r="A190" s="16">
        <v>42430</v>
      </c>
      <c r="B190" s="17">
        <v>96.626396</v>
      </c>
      <c r="C190" s="1">
        <f t="shared" si="5"/>
        <v>6.6110648759532431E-2</v>
      </c>
      <c r="D190" s="26">
        <v>1518.85</v>
      </c>
      <c r="E190" s="1">
        <f t="shared" si="6"/>
        <v>6.8386288978144583E-2</v>
      </c>
      <c r="F190" s="1">
        <f t="shared" si="4"/>
        <v>-2.2756402186121516E-3</v>
      </c>
      <c r="G190" s="20"/>
    </row>
    <row r="191" spans="1:7">
      <c r="A191" s="16">
        <v>42461</v>
      </c>
      <c r="B191" s="17">
        <v>97.717528999999999</v>
      </c>
      <c r="C191" s="1">
        <f t="shared" si="5"/>
        <v>1.1292287047526939E-2</v>
      </c>
      <c r="D191" s="26">
        <v>1526.96</v>
      </c>
      <c r="E191" s="1">
        <f t="shared" si="6"/>
        <v>5.3395661191033561E-3</v>
      </c>
      <c r="F191" s="1">
        <f t="shared" si="4"/>
        <v>5.9527209284235827E-3</v>
      </c>
      <c r="G191" s="1">
        <v>2.3E-2</v>
      </c>
    </row>
    <row r="192" spans="1:7">
      <c r="A192" s="16">
        <v>42491</v>
      </c>
      <c r="B192" s="17">
        <v>99.412375999999995</v>
      </c>
      <c r="C192" s="1">
        <f t="shared" si="5"/>
        <v>1.7344349753256605E-2</v>
      </c>
      <c r="D192" s="26">
        <v>1550.56</v>
      </c>
      <c r="E192" s="1">
        <f t="shared" si="6"/>
        <v>1.5455545659349257E-2</v>
      </c>
      <c r="F192" s="1">
        <f t="shared" si="4"/>
        <v>1.888804093907348E-3</v>
      </c>
      <c r="G192" s="20"/>
    </row>
    <row r="193" spans="1:7">
      <c r="A193" s="16">
        <v>42522</v>
      </c>
      <c r="B193" s="17">
        <v>99.245673999999994</v>
      </c>
      <c r="C193" s="1">
        <f t="shared" si="5"/>
        <v>-1.6768737123836752E-3</v>
      </c>
      <c r="D193" s="26">
        <v>1551.61</v>
      </c>
      <c r="E193" s="1">
        <f t="shared" si="6"/>
        <v>6.7717469817352161E-4</v>
      </c>
      <c r="F193" s="1">
        <f t="shared" si="4"/>
        <v>-2.3540484105571968E-3</v>
      </c>
      <c r="G193" s="20"/>
    </row>
    <row r="194" spans="1:7">
      <c r="A194" s="16">
        <v>42552</v>
      </c>
      <c r="B194" s="17">
        <v>103.647041</v>
      </c>
      <c r="C194" s="1">
        <f t="shared" si="5"/>
        <v>4.4348200003155869E-2</v>
      </c>
      <c r="D194" s="26">
        <v>1611.31</v>
      </c>
      <c r="E194" s="1">
        <f t="shared" si="6"/>
        <v>3.8476163468913027E-2</v>
      </c>
      <c r="F194" s="1">
        <f t="shared" si="4"/>
        <v>5.8720365342428416E-3</v>
      </c>
      <c r="G194" s="1">
        <v>1.9E-2</v>
      </c>
    </row>
    <row r="195" spans="1:7">
      <c r="A195" s="16">
        <v>42583</v>
      </c>
      <c r="B195" s="17">
        <v>103.860985</v>
      </c>
      <c r="C195" s="1">
        <f t="shared" si="5"/>
        <v>2.0641592652894669E-3</v>
      </c>
      <c r="D195" s="26">
        <v>1611.74</v>
      </c>
      <c r="E195" s="1">
        <f t="shared" si="6"/>
        <v>2.6686360787198105E-4</v>
      </c>
      <c r="F195" s="1">
        <f t="shared" ref="F195:F240" si="7">C195-E195</f>
        <v>1.7972956574174859E-3</v>
      </c>
      <c r="G195" s="20"/>
    </row>
    <row r="196" spans="1:7">
      <c r="A196" s="16">
        <v>42614</v>
      </c>
      <c r="B196" s="17">
        <v>103.563293</v>
      </c>
      <c r="C196" s="1">
        <f t="shared" si="5"/>
        <v>-2.8662543495038273E-3</v>
      </c>
      <c r="D196" s="26">
        <v>1612.05</v>
      </c>
      <c r="E196" s="1">
        <f t="shared" si="6"/>
        <v>1.9233871468093966E-4</v>
      </c>
      <c r="F196" s="1">
        <f t="shared" si="7"/>
        <v>-3.058593064184767E-3</v>
      </c>
      <c r="G196" s="20"/>
    </row>
    <row r="197" spans="1:7">
      <c r="A197" s="16">
        <v>42644</v>
      </c>
      <c r="B197" s="17">
        <v>101.786942</v>
      </c>
      <c r="C197" s="1">
        <f t="shared" si="5"/>
        <v>-1.7152322493260264E-2</v>
      </c>
      <c r="D197" s="26">
        <v>1574.64</v>
      </c>
      <c r="E197" s="1">
        <f t="shared" si="6"/>
        <v>-2.3206476225923423E-2</v>
      </c>
      <c r="F197" s="1">
        <f t="shared" si="7"/>
        <v>6.0541537326631589E-3</v>
      </c>
      <c r="G197" s="1">
        <v>1.8000000000000002E-2</v>
      </c>
    </row>
    <row r="198" spans="1:7">
      <c r="A198" s="16">
        <v>42675</v>
      </c>
      <c r="B198" s="17">
        <v>106.357956</v>
      </c>
      <c r="C198" s="1">
        <f t="shared" si="5"/>
        <v>4.490766605406038E-2</v>
      </c>
      <c r="D198" s="26">
        <v>1640.5</v>
      </c>
      <c r="E198" s="1">
        <f t="shared" si="6"/>
        <v>4.1825433114870636E-2</v>
      </c>
      <c r="F198" s="1">
        <f t="shared" si="7"/>
        <v>3.0822329391897441E-3</v>
      </c>
      <c r="G198" s="20"/>
    </row>
    <row r="199" spans="1:7">
      <c r="A199" s="16">
        <v>42705</v>
      </c>
      <c r="B199" s="17">
        <v>107.79748499999999</v>
      </c>
      <c r="C199" s="1">
        <f t="shared" si="5"/>
        <v>1.3534756158721128E-2</v>
      </c>
      <c r="D199" s="26">
        <v>1669.74</v>
      </c>
      <c r="E199" s="1">
        <f t="shared" si="6"/>
        <v>1.7823834196891264E-2</v>
      </c>
      <c r="F199" s="1">
        <f t="shared" si="7"/>
        <v>-4.2890780381701354E-3</v>
      </c>
      <c r="G199" s="20"/>
    </row>
    <row r="200" spans="1:7">
      <c r="A200" s="16">
        <v>42736</v>
      </c>
      <c r="B200" s="17">
        <v>110.483833</v>
      </c>
      <c r="C200" s="1">
        <f t="shared" si="5"/>
        <v>2.4920321656854982E-2</v>
      </c>
      <c r="D200" s="26">
        <v>1700.13</v>
      </c>
      <c r="E200" s="1">
        <f t="shared" si="6"/>
        <v>1.82004383916059E-2</v>
      </c>
      <c r="F200" s="1">
        <f t="shared" si="7"/>
        <v>6.7198832652490825E-3</v>
      </c>
      <c r="G200" s="1">
        <v>1.8000000000000002E-2</v>
      </c>
    </row>
    <row r="201" spans="1:7">
      <c r="A201" s="16">
        <v>42767</v>
      </c>
      <c r="B201" s="17">
        <v>114.566078</v>
      </c>
      <c r="C201" s="1">
        <f t="shared" si="5"/>
        <v>3.6948799558755407E-2</v>
      </c>
      <c r="D201" s="26">
        <v>1759.55</v>
      </c>
      <c r="E201" s="1">
        <f t="shared" si="6"/>
        <v>3.4950268508878723E-2</v>
      </c>
      <c r="F201" s="1">
        <f t="shared" si="7"/>
        <v>1.998531049876684E-3</v>
      </c>
      <c r="G201" s="20"/>
    </row>
    <row r="202" spans="1:7">
      <c r="A202" s="16">
        <v>42795</v>
      </c>
      <c r="B202" s="17">
        <v>114.114586</v>
      </c>
      <c r="C202" s="1">
        <f t="shared" si="5"/>
        <v>-3.9408872842797704E-3</v>
      </c>
      <c r="D202" s="26">
        <v>1758.11</v>
      </c>
      <c r="E202" s="1">
        <f t="shared" si="6"/>
        <v>-8.1839106589753907E-4</v>
      </c>
      <c r="F202" s="1">
        <f t="shared" si="7"/>
        <v>-3.1224962183822313E-3</v>
      </c>
      <c r="G202" s="20"/>
    </row>
    <row r="203" spans="1:7">
      <c r="A203" s="16">
        <v>42826</v>
      </c>
      <c r="B203" s="17">
        <v>115.848213</v>
      </c>
      <c r="C203" s="1">
        <f t="shared" si="5"/>
        <v>1.5191984309525397E-2</v>
      </c>
      <c r="D203" s="26">
        <v>1774.81</v>
      </c>
      <c r="E203" s="1">
        <f t="shared" si="6"/>
        <v>9.4988368190842554E-3</v>
      </c>
      <c r="F203" s="1">
        <f t="shared" si="7"/>
        <v>5.6931474904411417E-3</v>
      </c>
      <c r="G203" s="1">
        <v>0.03</v>
      </c>
    </row>
    <row r="204" spans="1:7">
      <c r="A204" s="16">
        <v>42856</v>
      </c>
      <c r="B204" s="17">
        <v>117.019829</v>
      </c>
      <c r="C204" s="1">
        <f t="shared" si="5"/>
        <v>1.0113371364649293E-2</v>
      </c>
      <c r="D204" s="26">
        <v>1788.94</v>
      </c>
      <c r="E204" s="1">
        <f t="shared" si="6"/>
        <v>7.9614155881475579E-3</v>
      </c>
      <c r="F204" s="1">
        <f t="shared" si="7"/>
        <v>2.151955776501735E-3</v>
      </c>
      <c r="G204" s="20"/>
    </row>
    <row r="205" spans="1:7">
      <c r="A205" s="16">
        <v>42887</v>
      </c>
      <c r="B205" s="17">
        <v>117.58673899999999</v>
      </c>
      <c r="C205" s="1">
        <f t="shared" si="5"/>
        <v>4.8445635653764363E-3</v>
      </c>
      <c r="D205" s="26">
        <v>1802.83</v>
      </c>
      <c r="E205" s="1">
        <f t="shared" si="6"/>
        <v>7.7643744340223364E-3</v>
      </c>
      <c r="F205" s="1">
        <f t="shared" si="7"/>
        <v>-2.9198108686459001E-3</v>
      </c>
      <c r="G205" s="20"/>
    </row>
    <row r="206" spans="1:7">
      <c r="A206" s="16">
        <v>42917</v>
      </c>
      <c r="B206" s="17">
        <v>120.349495</v>
      </c>
      <c r="C206" s="1">
        <f t="shared" si="5"/>
        <v>2.3495472563449527E-2</v>
      </c>
      <c r="D206" s="26">
        <v>1834.59</v>
      </c>
      <c r="E206" s="1">
        <f t="shared" si="6"/>
        <v>1.7616747003322608E-2</v>
      </c>
      <c r="F206" s="1">
        <f t="shared" si="7"/>
        <v>5.8787255601269184E-3</v>
      </c>
      <c r="G206" s="1">
        <v>2.7999999999999997E-2</v>
      </c>
    </row>
    <row r="207" spans="1:7">
      <c r="A207" s="16">
        <v>42948</v>
      </c>
      <c r="B207" s="17">
        <v>120.52984600000001</v>
      </c>
      <c r="C207" s="1">
        <f t="shared" ref="C207:C240" si="8">(B207/B206)-1</f>
        <v>1.4985605049693262E-3</v>
      </c>
      <c r="D207" s="26">
        <v>1833.4</v>
      </c>
      <c r="E207" s="1">
        <f t="shared" ref="E207:E240" si="9">(D207/D206)-1</f>
        <v>-6.4864629154193221E-4</v>
      </c>
      <c r="F207" s="1">
        <f t="shared" si="7"/>
        <v>2.1472067965112585E-3</v>
      </c>
      <c r="G207" s="20"/>
    </row>
    <row r="208" spans="1:7">
      <c r="A208" s="16">
        <v>42979</v>
      </c>
      <c r="B208" s="17">
        <v>122.940834</v>
      </c>
      <c r="C208" s="1">
        <f t="shared" si="8"/>
        <v>2.0003244673522547E-2</v>
      </c>
      <c r="D208" s="26">
        <v>1875.97</v>
      </c>
      <c r="E208" s="1">
        <f t="shared" si="9"/>
        <v>2.3219155667066671E-2</v>
      </c>
      <c r="F208" s="1">
        <f t="shared" si="7"/>
        <v>-3.2159109935441244E-3</v>
      </c>
      <c r="G208" s="20"/>
    </row>
    <row r="209" spans="1:7">
      <c r="A209" s="16">
        <v>43009</v>
      </c>
      <c r="B209" s="17">
        <v>126.14962</v>
      </c>
      <c r="C209" s="1">
        <f t="shared" si="8"/>
        <v>2.6100245911785613E-2</v>
      </c>
      <c r="D209" s="26">
        <v>1914.61</v>
      </c>
      <c r="E209" s="1">
        <f t="shared" si="9"/>
        <v>2.0597344307211607E-2</v>
      </c>
      <c r="F209" s="1">
        <f t="shared" si="7"/>
        <v>5.5029016045740065E-3</v>
      </c>
      <c r="G209" s="1">
        <v>2.3E-2</v>
      </c>
    </row>
    <row r="210" spans="1:7">
      <c r="A210" s="16">
        <v>43040</v>
      </c>
      <c r="B210" s="17">
        <v>129.97232099999999</v>
      </c>
      <c r="C210" s="1">
        <f t="shared" si="8"/>
        <v>3.0302913318327906E-2</v>
      </c>
      <c r="D210" s="26">
        <v>1968.43</v>
      </c>
      <c r="E210" s="1">
        <f t="shared" si="9"/>
        <v>2.8110163427538915E-2</v>
      </c>
      <c r="F210" s="1">
        <f t="shared" si="7"/>
        <v>2.192749890788992E-3</v>
      </c>
      <c r="G210" s="20"/>
    </row>
    <row r="211" spans="1:7">
      <c r="A211" s="16">
        <v>43070</v>
      </c>
      <c r="B211" s="17">
        <v>130.839844</v>
      </c>
      <c r="C211" s="1">
        <f t="shared" si="8"/>
        <v>6.6746749871460231E-3</v>
      </c>
      <c r="D211" s="26">
        <v>1985.81</v>
      </c>
      <c r="E211" s="1">
        <f t="shared" si="9"/>
        <v>8.8293716311984571E-3</v>
      </c>
      <c r="F211" s="1">
        <f t="shared" si="7"/>
        <v>-2.154696644052434E-3</v>
      </c>
      <c r="G211" s="20"/>
    </row>
    <row r="212" spans="1:7">
      <c r="A212" s="16">
        <v>43101</v>
      </c>
      <c r="B212" s="17">
        <v>138.35957300000001</v>
      </c>
      <c r="C212" s="1">
        <f t="shared" si="8"/>
        <v>5.7472775647760654E-2</v>
      </c>
      <c r="D212" s="26">
        <v>2089.67</v>
      </c>
      <c r="E212" s="1">
        <f t="shared" si="9"/>
        <v>5.2301076135179203E-2</v>
      </c>
      <c r="F212" s="1">
        <f t="shared" si="7"/>
        <v>5.1716995125814513E-3</v>
      </c>
      <c r="G212" s="1">
        <v>2.2000000000000002E-2</v>
      </c>
    </row>
    <row r="213" spans="1:7">
      <c r="A213" s="16">
        <v>43132</v>
      </c>
      <c r="B213" s="17">
        <v>133.157791</v>
      </c>
      <c r="C213" s="1">
        <f t="shared" si="8"/>
        <v>-3.7596111979906199E-2</v>
      </c>
      <c r="D213" s="26">
        <v>2007.94</v>
      </c>
      <c r="E213" s="1">
        <f t="shared" si="9"/>
        <v>-3.9111438648207653E-2</v>
      </c>
      <c r="F213" s="1">
        <f t="shared" si="7"/>
        <v>1.5153266683014532E-3</v>
      </c>
      <c r="G213" s="20"/>
    </row>
    <row r="214" spans="1:7">
      <c r="A214" s="16">
        <v>43160</v>
      </c>
      <c r="B214" s="17">
        <v>130.01568599999999</v>
      </c>
      <c r="C214" s="1">
        <f t="shared" si="8"/>
        <v>-2.3596854351541574E-2</v>
      </c>
      <c r="D214" s="26">
        <v>1965.17</v>
      </c>
      <c r="E214" s="1">
        <f t="shared" si="9"/>
        <v>-2.1300437264061611E-2</v>
      </c>
      <c r="F214" s="1">
        <f t="shared" si="7"/>
        <v>-2.2964170874799628E-3</v>
      </c>
      <c r="G214" s="20"/>
    </row>
    <row r="215" spans="1:7">
      <c r="A215" s="16">
        <v>43191</v>
      </c>
      <c r="B215" s="17">
        <v>131.13043200000001</v>
      </c>
      <c r="C215" s="1">
        <f t="shared" si="8"/>
        <v>8.5739346866193777E-3</v>
      </c>
      <c r="D215" s="26">
        <v>1970.81</v>
      </c>
      <c r="E215" s="1">
        <f t="shared" si="9"/>
        <v>2.8699807141365774E-3</v>
      </c>
      <c r="F215" s="1">
        <f t="shared" si="7"/>
        <v>5.7039539724828003E-3</v>
      </c>
      <c r="G215" s="1">
        <v>4.2000000000000003E-2</v>
      </c>
    </row>
    <row r="216" spans="1:7">
      <c r="A216" s="16">
        <v>43221</v>
      </c>
      <c r="B216" s="17">
        <v>134.69892899999999</v>
      </c>
      <c r="C216" s="1">
        <f t="shared" si="8"/>
        <v>2.7213339768452638E-2</v>
      </c>
      <c r="D216" s="26">
        <v>2021.63</v>
      </c>
      <c r="E216" s="1">
        <f t="shared" si="9"/>
        <v>2.5786351804587992E-2</v>
      </c>
      <c r="F216" s="1">
        <f t="shared" si="7"/>
        <v>1.4269879638646454E-3</v>
      </c>
      <c r="G216" s="20"/>
    </row>
    <row r="217" spans="1:7">
      <c r="A217" s="16">
        <v>43252</v>
      </c>
      <c r="B217" s="17">
        <v>135.074051</v>
      </c>
      <c r="C217" s="1">
        <f t="shared" si="8"/>
        <v>2.7848922243471907E-3</v>
      </c>
      <c r="D217" s="26">
        <v>2032.8</v>
      </c>
      <c r="E217" s="1">
        <f t="shared" si="9"/>
        <v>5.525244480938607E-3</v>
      </c>
      <c r="F217" s="1">
        <f t="shared" si="7"/>
        <v>-2.7403522565914162E-3</v>
      </c>
      <c r="G217" s="20"/>
    </row>
    <row r="218" spans="1:7">
      <c r="A218" s="16">
        <v>43282</v>
      </c>
      <c r="B218" s="17">
        <v>140.147919</v>
      </c>
      <c r="C218" s="1">
        <f t="shared" si="8"/>
        <v>3.7563602797401785E-2</v>
      </c>
      <c r="D218" s="26">
        <v>2098.6799999999998</v>
      </c>
      <c r="E218" s="1">
        <f t="shared" si="9"/>
        <v>3.2408500590318745E-2</v>
      </c>
      <c r="F218" s="1">
        <f t="shared" si="7"/>
        <v>5.1551022070830399E-3</v>
      </c>
      <c r="G218" s="1">
        <v>3.4000000000000002E-2</v>
      </c>
    </row>
    <row r="219" spans="1:7">
      <c r="A219" s="16">
        <v>43313</v>
      </c>
      <c r="B219" s="17">
        <v>144.95829800000001</v>
      </c>
      <c r="C219" s="1">
        <f t="shared" si="8"/>
        <v>3.4323584926009509E-2</v>
      </c>
      <c r="D219" s="26">
        <v>2166.62</v>
      </c>
      <c r="E219" s="1">
        <f t="shared" si="9"/>
        <v>3.2372729525225408E-2</v>
      </c>
      <c r="F219" s="1">
        <f t="shared" si="7"/>
        <v>1.9508554007841017E-3</v>
      </c>
      <c r="G219" s="20"/>
    </row>
    <row r="220" spans="1:7">
      <c r="A220" s="16">
        <v>43344</v>
      </c>
      <c r="B220" s="17">
        <v>144.55261200000001</v>
      </c>
      <c r="C220" s="1">
        <f t="shared" si="8"/>
        <v>-2.7986393714418689E-3</v>
      </c>
      <c r="D220" s="26">
        <v>2167.1799999999998</v>
      </c>
      <c r="E220" s="1">
        <f t="shared" si="9"/>
        <v>2.584671054453036E-4</v>
      </c>
      <c r="F220" s="1">
        <f t="shared" si="7"/>
        <v>-3.0571064768871725E-3</v>
      </c>
      <c r="G220" s="20"/>
    </row>
    <row r="221" spans="1:7">
      <c r="A221" s="16">
        <v>43374</v>
      </c>
      <c r="B221" s="17">
        <v>134.47920199999999</v>
      </c>
      <c r="C221" s="1">
        <f t="shared" si="8"/>
        <v>-6.9686807181319033E-2</v>
      </c>
      <c r="D221" s="26">
        <v>2004.89</v>
      </c>
      <c r="E221" s="1">
        <f t="shared" si="9"/>
        <v>-7.4885334859125519E-2</v>
      </c>
      <c r="F221" s="1">
        <f t="shared" si="7"/>
        <v>5.1985276778064859E-3</v>
      </c>
      <c r="G221" s="1">
        <v>2.2000000000000002E-2</v>
      </c>
    </row>
    <row r="222" spans="1:7">
      <c r="A222" s="16">
        <v>43405</v>
      </c>
      <c r="B222" s="17">
        <v>137.18704199999999</v>
      </c>
      <c r="C222" s="1">
        <f t="shared" si="8"/>
        <v>2.0135753036369275E-2</v>
      </c>
      <c r="D222" s="26">
        <v>2041.76</v>
      </c>
      <c r="E222" s="1">
        <f t="shared" si="9"/>
        <v>1.8390036361097151E-2</v>
      </c>
      <c r="F222" s="1">
        <f t="shared" si="7"/>
        <v>1.7457166752721243E-3</v>
      </c>
      <c r="G222" s="20"/>
    </row>
    <row r="223" spans="1:7">
      <c r="A223" s="16">
        <v>43435</v>
      </c>
      <c r="B223" s="17">
        <v>123.871094</v>
      </c>
      <c r="C223" s="1">
        <f t="shared" si="8"/>
        <v>-9.7064181907209557E-2</v>
      </c>
      <c r="D223" s="26">
        <v>1849.04</v>
      </c>
      <c r="E223" s="1">
        <f t="shared" si="9"/>
        <v>-9.4389154454980084E-2</v>
      </c>
      <c r="F223" s="1">
        <f t="shared" si="7"/>
        <v>-2.6750274522294726E-3</v>
      </c>
      <c r="G223" s="20"/>
    </row>
    <row r="224" spans="1:7">
      <c r="A224" s="16">
        <v>43466</v>
      </c>
      <c r="B224" s="17">
        <v>135.23968500000001</v>
      </c>
      <c r="C224" s="1">
        <f t="shared" si="8"/>
        <v>9.1777594214191849E-2</v>
      </c>
      <c r="D224" s="26">
        <v>2006.09</v>
      </c>
      <c r="E224" s="1">
        <f t="shared" si="9"/>
        <v>8.4935966771946481E-2</v>
      </c>
      <c r="F224" s="1">
        <f t="shared" si="7"/>
        <v>6.8416274422453682E-3</v>
      </c>
      <c r="G224" s="1">
        <v>3.1E-2</v>
      </c>
    </row>
    <row r="225" spans="1:7">
      <c r="A225" s="16">
        <v>43497</v>
      </c>
      <c r="B225" s="17">
        <v>140.05259699999999</v>
      </c>
      <c r="C225" s="1">
        <f t="shared" si="8"/>
        <v>3.5588015455670252E-2</v>
      </c>
      <c r="D225" s="26">
        <v>2072.06</v>
      </c>
      <c r="E225" s="1">
        <f t="shared" si="9"/>
        <v>3.288486558429593E-2</v>
      </c>
      <c r="F225" s="1">
        <f t="shared" si="7"/>
        <v>2.7031498713743218E-3</v>
      </c>
      <c r="G225" s="20"/>
    </row>
    <row r="226" spans="1:7">
      <c r="A226" s="16">
        <v>43525</v>
      </c>
      <c r="B226" s="17">
        <v>141.27290300000001</v>
      </c>
      <c r="C226" s="1">
        <f t="shared" si="8"/>
        <v>8.7131979423418215E-3</v>
      </c>
      <c r="D226" s="26">
        <v>2098.8200000000002</v>
      </c>
      <c r="E226" s="1">
        <f t="shared" si="9"/>
        <v>1.2914683937723881E-2</v>
      </c>
      <c r="F226" s="1">
        <f t="shared" si="7"/>
        <v>-4.2014859953820594E-3</v>
      </c>
      <c r="G226" s="20"/>
    </row>
    <row r="227" spans="1:7">
      <c r="A227" s="16">
        <v>43556</v>
      </c>
      <c r="B227" s="17">
        <v>147.611786</v>
      </c>
      <c r="C227" s="1">
        <f t="shared" si="8"/>
        <v>4.4869772372412964E-2</v>
      </c>
      <c r="D227" s="26">
        <v>2180.0700000000002</v>
      </c>
      <c r="E227" s="1">
        <f t="shared" si="9"/>
        <v>3.8712228776169422E-2</v>
      </c>
      <c r="F227" s="1">
        <f t="shared" si="7"/>
        <v>6.1575435962435421E-3</v>
      </c>
      <c r="G227" s="1">
        <v>0.02</v>
      </c>
    </row>
    <row r="228" spans="1:7">
      <c r="A228" s="16">
        <v>43586</v>
      </c>
      <c r="B228" s="17">
        <v>138.09097299999999</v>
      </c>
      <c r="C228" s="1">
        <f t="shared" si="8"/>
        <v>-6.4499002809978889E-2</v>
      </c>
      <c r="D228" s="26">
        <v>2035.24</v>
      </c>
      <c r="E228" s="1">
        <f t="shared" si="9"/>
        <v>-6.64336466260258E-2</v>
      </c>
      <c r="F228" s="1">
        <f t="shared" si="7"/>
        <v>1.9346438160469104E-3</v>
      </c>
      <c r="G228" s="20"/>
    </row>
    <row r="229" spans="1:7">
      <c r="A229" s="16">
        <v>43617</v>
      </c>
      <c r="B229" s="17">
        <v>147.317307</v>
      </c>
      <c r="C229" s="1">
        <f t="shared" si="8"/>
        <v>6.6813447682782412E-2</v>
      </c>
      <c r="D229" s="26">
        <v>2174.1799999999998</v>
      </c>
      <c r="E229" s="1">
        <f t="shared" si="9"/>
        <v>6.8267133114521927E-2</v>
      </c>
      <c r="F229" s="1">
        <f t="shared" si="7"/>
        <v>-1.4536854317395154E-3</v>
      </c>
      <c r="G229" s="20"/>
    </row>
    <row r="230" spans="1:7">
      <c r="A230" s="16">
        <v>43647</v>
      </c>
      <c r="B230" s="17">
        <v>149.95378099999999</v>
      </c>
      <c r="C230" s="1">
        <f t="shared" si="8"/>
        <v>1.7896566626757426E-2</v>
      </c>
      <c r="D230" s="26">
        <v>2203.2800000000002</v>
      </c>
      <c r="E230" s="1">
        <f t="shared" si="9"/>
        <v>1.3384356401034081E-2</v>
      </c>
      <c r="F230" s="1">
        <f t="shared" si="7"/>
        <v>4.5122102257233454E-3</v>
      </c>
      <c r="G230" s="1">
        <v>2.1000000000000001E-2</v>
      </c>
    </row>
    <row r="231" spans="1:7">
      <c r="A231" s="16">
        <v>43678</v>
      </c>
      <c r="B231" s="17">
        <v>146.83073400000001</v>
      </c>
      <c r="C231" s="1">
        <f t="shared" si="8"/>
        <v>-2.082673060441198E-2</v>
      </c>
      <c r="D231" s="26">
        <v>2154.23</v>
      </c>
      <c r="E231" s="1">
        <f t="shared" si="9"/>
        <v>-2.2262263534366999E-2</v>
      </c>
      <c r="F231" s="1">
        <f t="shared" si="7"/>
        <v>1.435532929955019E-3</v>
      </c>
      <c r="G231" s="20"/>
    </row>
    <row r="232" spans="1:7">
      <c r="A232" s="16">
        <v>43709</v>
      </c>
      <c r="B232" s="17">
        <v>148.76168799999999</v>
      </c>
      <c r="C232" s="1">
        <f t="shared" si="8"/>
        <v>1.3150884337334912E-2</v>
      </c>
      <c r="D232" s="26">
        <v>2187.88</v>
      </c>
      <c r="E232" s="1">
        <f t="shared" si="9"/>
        <v>1.5620430501849913E-2</v>
      </c>
      <c r="F232" s="1">
        <f t="shared" si="7"/>
        <v>-2.4695461645150019E-3</v>
      </c>
      <c r="G232" s="20"/>
    </row>
    <row r="233" spans="1:7">
      <c r="A233" s="16">
        <v>43739</v>
      </c>
      <c r="B233" s="17">
        <v>152.59054599999999</v>
      </c>
      <c r="C233" s="1">
        <f t="shared" si="8"/>
        <v>2.5738199475122903E-2</v>
      </c>
      <c r="D233" s="26">
        <v>2231.52</v>
      </c>
      <c r="E233" s="1">
        <f t="shared" si="9"/>
        <v>1.9946249337257971E-2</v>
      </c>
      <c r="F233" s="1">
        <f t="shared" si="7"/>
        <v>5.7919501378649318E-3</v>
      </c>
      <c r="G233" s="1">
        <v>2.1000000000000001E-2</v>
      </c>
    </row>
    <row r="234" spans="1:7">
      <c r="A234" s="16">
        <v>43770</v>
      </c>
      <c r="B234" s="17">
        <v>158.37034600000001</v>
      </c>
      <c r="C234" s="1">
        <f t="shared" si="8"/>
        <v>3.7877838119800833E-2</v>
      </c>
      <c r="D234" s="26">
        <v>2311.1</v>
      </c>
      <c r="E234" s="1">
        <f t="shared" si="9"/>
        <v>3.5661791066179171E-2</v>
      </c>
      <c r="F234" s="1">
        <f t="shared" si="7"/>
        <v>2.2160470536216614E-3</v>
      </c>
      <c r="G234" s="20"/>
    </row>
    <row r="235" spans="1:7">
      <c r="A235" s="16">
        <v>43800</v>
      </c>
      <c r="B235" s="17">
        <v>161.93322800000001</v>
      </c>
      <c r="C235" s="1">
        <f t="shared" si="8"/>
        <v>2.2497153602228037E-2</v>
      </c>
      <c r="D235" s="26">
        <v>2373.73</v>
      </c>
      <c r="E235" s="1">
        <f t="shared" si="9"/>
        <v>2.7099649517545732E-2</v>
      </c>
      <c r="F235" s="1">
        <f t="shared" si="7"/>
        <v>-4.6024959153176948E-3</v>
      </c>
      <c r="G235" s="1"/>
    </row>
    <row r="236" spans="1:7">
      <c r="A236" s="16">
        <v>43831</v>
      </c>
      <c r="B236" s="17">
        <v>162.71174600000001</v>
      </c>
      <c r="C236" s="1">
        <f t="shared" si="8"/>
        <v>4.8076482486967276E-3</v>
      </c>
      <c r="D236" s="26">
        <v>2369.54</v>
      </c>
      <c r="E236" s="1">
        <f t="shared" si="9"/>
        <v>-1.7651544194158264E-3</v>
      </c>
      <c r="F236" s="1">
        <f t="shared" si="7"/>
        <v>6.572802668112554E-3</v>
      </c>
      <c r="G236" s="1">
        <v>-4.8000000000000001E-2</v>
      </c>
    </row>
    <row r="237" spans="1:7">
      <c r="A237" s="16">
        <v>43862</v>
      </c>
      <c r="B237" s="17">
        <v>149.69639599999999</v>
      </c>
      <c r="C237" s="1">
        <f t="shared" si="8"/>
        <v>-7.9990230084557079E-2</v>
      </c>
      <c r="D237" s="26">
        <v>2172.02</v>
      </c>
      <c r="E237" s="1">
        <f t="shared" si="9"/>
        <v>-8.3357951332326152E-2</v>
      </c>
      <c r="F237" s="1">
        <f t="shared" si="7"/>
        <v>3.3677212477690732E-3</v>
      </c>
      <c r="G237" s="1"/>
    </row>
    <row r="238" spans="1:7">
      <c r="A238" s="16">
        <v>43891</v>
      </c>
      <c r="B238" s="17">
        <v>128.27282700000001</v>
      </c>
      <c r="C238" s="1">
        <f t="shared" si="8"/>
        <v>-0.1431134587902837</v>
      </c>
      <c r="D238" s="26">
        <v>1869.2</v>
      </c>
      <c r="E238" s="1">
        <f t="shared" si="9"/>
        <v>-0.1394186057218626</v>
      </c>
      <c r="F238" s="1">
        <f t="shared" si="7"/>
        <v>-3.6948530684211001E-3</v>
      </c>
      <c r="G238" s="1"/>
    </row>
    <row r="239" spans="1:7">
      <c r="A239" s="16">
        <v>43922</v>
      </c>
      <c r="B239" s="17">
        <v>145.83999600000001</v>
      </c>
      <c r="C239" s="1">
        <f t="shared" si="8"/>
        <v>0.13695160082501334</v>
      </c>
      <c r="D239" s="26">
        <v>2114.7600000000002</v>
      </c>
      <c r="E239" s="1">
        <f t="shared" si="9"/>
        <v>0.13137170982238389</v>
      </c>
      <c r="F239" s="1">
        <f t="shared" si="7"/>
        <v>5.5798910026294557E-3</v>
      </c>
      <c r="G239" s="1"/>
    </row>
    <row r="240" spans="1:7">
      <c r="A240" s="16">
        <v>43952</v>
      </c>
      <c r="B240" s="17">
        <v>153.71000699999999</v>
      </c>
      <c r="C240" s="1">
        <f t="shared" si="8"/>
        <v>5.3963324299597382E-2</v>
      </c>
      <c r="D240" s="26">
        <v>2224.02</v>
      </c>
      <c r="E240" s="1">
        <f t="shared" si="9"/>
        <v>5.1665437212733201E-2</v>
      </c>
      <c r="F240" s="1">
        <f t="shared" si="7"/>
        <v>2.297887086864181E-3</v>
      </c>
      <c r="G240" s="1"/>
    </row>
  </sheetData>
  <conditionalFormatting sqref="C1:C5">
    <cfRule type="cellIs" dxfId="151" priority="13" operator="lessThan">
      <formula>0</formula>
    </cfRule>
    <cfRule type="cellIs" dxfId="150" priority="14" operator="greaterThan">
      <formula>0</formula>
    </cfRule>
  </conditionalFormatting>
  <conditionalFormatting sqref="E1:F5">
    <cfRule type="cellIs" dxfId="149" priority="11" operator="lessThan">
      <formula>0</formula>
    </cfRule>
    <cfRule type="cellIs" dxfId="148" priority="12" operator="greaterThan">
      <formula>0</formula>
    </cfRule>
  </conditionalFormatting>
  <conditionalFormatting sqref="G1:G5">
    <cfRule type="cellIs" dxfId="147" priority="9" operator="lessThan">
      <formula>0</formula>
    </cfRule>
    <cfRule type="cellIs" dxfId="146" priority="10" operator="greaterThan">
      <formula>0</formula>
    </cfRule>
  </conditionalFormatting>
  <conditionalFormatting sqref="C13:C240">
    <cfRule type="cellIs" dxfId="145" priority="7" operator="lessThan">
      <formula>0</formula>
    </cfRule>
    <cfRule type="cellIs" dxfId="144" priority="8" operator="greaterThan">
      <formula>0</formula>
    </cfRule>
  </conditionalFormatting>
  <conditionalFormatting sqref="E13:F240">
    <cfRule type="cellIs" dxfId="143" priority="5" operator="lessThan">
      <formula>0</formula>
    </cfRule>
    <cfRule type="cellIs" dxfId="142" priority="6" operator="greaterThan">
      <formula>0</formula>
    </cfRule>
  </conditionalFormatting>
  <conditionalFormatting sqref="G13:G240">
    <cfRule type="cellIs" dxfId="141" priority="3" operator="lessThan">
      <formula>0</formula>
    </cfRule>
    <cfRule type="cellIs" dxfId="140" priority="4" operator="greaterThan">
      <formula>0</formula>
    </cfRule>
  </conditionalFormatting>
  <conditionalFormatting sqref="M41:M44">
    <cfRule type="cellIs" dxfId="139" priority="1" operator="lessThan">
      <formula>0</formula>
    </cfRule>
    <cfRule type="cellIs" dxfId="138" priority="2" operator="greaterThan">
      <formula>0</formula>
    </cfRule>
  </conditionalFormatting>
  <hyperlinks>
    <hyperlink ref="B3" r:id="rId1" xr:uid="{4BB12FF1-AD51-5047-A897-98A9F0961B7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4BC21-63B7-F543-B36B-CC0FF2C904BD}">
  <dimension ref="A1:Y194"/>
  <sheetViews>
    <sheetView workbookViewId="0">
      <pane ySplit="11" topLeftCell="A34" activePane="bottomLeft" state="frozen"/>
      <selection pane="bottomLeft" activeCell="R25" sqref="R25"/>
    </sheetView>
  </sheetViews>
  <sheetFormatPr baseColWidth="10" defaultRowHeight="16"/>
  <cols>
    <col min="10" max="10" width="21.1640625" bestFit="1" customWidth="1"/>
    <col min="11" max="11" width="15.332031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8.0000000000000004E-4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63</v>
      </c>
      <c r="B3" s="8" t="s">
        <v>12</v>
      </c>
      <c r="C3" s="1"/>
      <c r="E3" s="1"/>
      <c r="F3" s="1"/>
      <c r="G3" s="9" t="s">
        <v>13</v>
      </c>
      <c r="H3" s="9">
        <f>SUBTOTAL(1,C13:C241)</f>
        <v>4.6072043570785292E-3</v>
      </c>
      <c r="J3" s="3" t="s">
        <v>14</v>
      </c>
      <c r="K3" s="10">
        <v>4.2038478015341739E-2</v>
      </c>
      <c r="L3" s="3">
        <v>102</v>
      </c>
      <c r="M3" s="9">
        <f>L3/$K$37</f>
        <v>0.56043956043956045</v>
      </c>
      <c r="N3" s="10">
        <f>K3*M3</f>
        <v>2.3560026140466251E-2</v>
      </c>
      <c r="P3" s="4" t="s">
        <v>15</v>
      </c>
      <c r="Q3" s="11">
        <f>$K$25+$K$29</f>
        <v>5.9892028009239713E-2</v>
      </c>
      <c r="R3" s="11">
        <f>$K$25+$K$29*2</f>
        <v>0.11517685166140089</v>
      </c>
      <c r="S3" s="11">
        <f>$K$25+$K$29*3</f>
        <v>0.17046167531356207</v>
      </c>
      <c r="T3" s="6"/>
      <c r="U3" s="5">
        <v>1</v>
      </c>
      <c r="V3" s="5">
        <v>134</v>
      </c>
      <c r="W3" s="12">
        <f>Y3*$K$37</f>
        <v>124.12400000000001</v>
      </c>
      <c r="X3" s="13">
        <f>V3/$K$37</f>
        <v>0.73626373626373631</v>
      </c>
      <c r="Y3" s="13">
        <v>0.68200000000000005</v>
      </c>
    </row>
    <row r="4" spans="1:25">
      <c r="A4" t="s">
        <v>64</v>
      </c>
      <c r="C4" s="1"/>
      <c r="E4" s="1"/>
      <c r="F4" s="1"/>
      <c r="G4" s="9" t="s">
        <v>16</v>
      </c>
      <c r="H4" s="14">
        <f>SUBTOTAL(2,C13:C241)</f>
        <v>182</v>
      </c>
      <c r="J4" s="3" t="s">
        <v>17</v>
      </c>
      <c r="K4" s="10">
        <v>-4.3117669557207063E-2</v>
      </c>
      <c r="L4" s="3">
        <v>80</v>
      </c>
      <c r="M4" s="9">
        <f>L4/$K$37</f>
        <v>0.43956043956043955</v>
      </c>
      <c r="N4" s="10">
        <f>K4*M4</f>
        <v>-1.8952821783387721E-2</v>
      </c>
      <c r="P4" s="4" t="s">
        <v>18</v>
      </c>
      <c r="Q4" s="11">
        <f>$K$25-$K$29</f>
        <v>-5.0677619295082653E-2</v>
      </c>
      <c r="R4" s="11">
        <f>$K$25-$K$29*2</f>
        <v>-0.10596244294724384</v>
      </c>
      <c r="S4" s="11">
        <f>$K$25-$K$29*3</f>
        <v>-0.161247266599405</v>
      </c>
      <c r="T4" s="6"/>
      <c r="U4" s="5">
        <v>2</v>
      </c>
      <c r="V4" s="5">
        <v>172</v>
      </c>
      <c r="W4" s="12">
        <f>Y4*$K$37</f>
        <v>173.62799999999999</v>
      </c>
      <c r="X4" s="13">
        <f>V4/$K$37</f>
        <v>0.94505494505494503</v>
      </c>
      <c r="Y4" s="13">
        <v>0.95399999999999996</v>
      </c>
    </row>
    <row r="5" spans="1:25">
      <c r="A5" t="s">
        <v>65</v>
      </c>
      <c r="C5" s="1"/>
      <c r="E5" s="1"/>
      <c r="F5" s="1"/>
      <c r="G5" s="1"/>
      <c r="J5" s="3" t="s">
        <v>19</v>
      </c>
      <c r="K5" s="3"/>
      <c r="L5" s="27">
        <f>K37-L4-$L$3</f>
        <v>0</v>
      </c>
      <c r="M5" s="3"/>
      <c r="N5" s="3"/>
      <c r="P5" s="6"/>
      <c r="Q5" s="6"/>
      <c r="R5" s="6"/>
      <c r="S5" s="6"/>
      <c r="T5" s="6"/>
      <c r="U5" s="5">
        <v>3</v>
      </c>
      <c r="V5" s="5">
        <v>180</v>
      </c>
      <c r="W5" s="12">
        <f>Y5*$K$37</f>
        <v>181.636</v>
      </c>
      <c r="X5" s="13">
        <f>V5/$K$37</f>
        <v>0.98901098901098905</v>
      </c>
      <c r="Y5" s="13">
        <v>0.998</v>
      </c>
    </row>
    <row r="6" spans="1:25">
      <c r="A6" t="s">
        <v>66</v>
      </c>
      <c r="B6" t="s">
        <v>67</v>
      </c>
      <c r="C6" s="1"/>
      <c r="E6" s="1"/>
      <c r="F6" s="1"/>
      <c r="G6" s="1"/>
    </row>
    <row r="7" spans="1:25">
      <c r="C7" s="1"/>
      <c r="E7" s="1"/>
      <c r="F7" s="1"/>
      <c r="G7" s="1"/>
      <c r="P7" s="6"/>
      <c r="Q7" s="6"/>
      <c r="R7" s="6"/>
      <c r="S7" s="6"/>
      <c r="T7" s="6"/>
      <c r="U7" s="6"/>
      <c r="V7" s="6"/>
      <c r="W7" s="6"/>
      <c r="X7" s="6"/>
      <c r="Y7" s="6"/>
    </row>
    <row r="11" spans="1:25">
      <c r="A11" s="15" t="s">
        <v>20</v>
      </c>
      <c r="B11" s="15" t="s">
        <v>21</v>
      </c>
      <c r="C11" s="15" t="s">
        <v>22</v>
      </c>
      <c r="D11" s="15" t="s">
        <v>68</v>
      </c>
      <c r="E11" s="15" t="s">
        <v>69</v>
      </c>
      <c r="F11" s="15" t="s">
        <v>70</v>
      </c>
      <c r="G11" s="15" t="s">
        <v>71</v>
      </c>
    </row>
    <row r="12" spans="1:25">
      <c r="A12" s="16">
        <v>38412</v>
      </c>
      <c r="B12" s="17">
        <v>27.966678999999999</v>
      </c>
      <c r="E12" s="1"/>
      <c r="F12" s="1"/>
      <c r="G12" s="1"/>
      <c r="J12" s="3" t="s">
        <v>27</v>
      </c>
      <c r="K12" s="18" t="s">
        <v>28</v>
      </c>
      <c r="L12" s="18" t="s">
        <v>29</v>
      </c>
      <c r="M12" s="18" t="s">
        <v>3</v>
      </c>
    </row>
    <row r="13" spans="1:25">
      <c r="A13" s="16">
        <v>38443</v>
      </c>
      <c r="B13" s="17">
        <v>27.364751999999999</v>
      </c>
      <c r="C13" s="1">
        <f>(B13/B12)-1</f>
        <v>-2.1523006002965195E-2</v>
      </c>
      <c r="E13" s="1"/>
      <c r="F13" s="1"/>
      <c r="G13" s="1"/>
      <c r="J13" s="19">
        <v>0.15</v>
      </c>
      <c r="K13" s="19">
        <v>-0.2</v>
      </c>
      <c r="L13" s="19" t="s">
        <v>72</v>
      </c>
      <c r="M13" s="3">
        <v>1</v>
      </c>
    </row>
    <row r="14" spans="1:25">
      <c r="A14" s="16">
        <v>38473</v>
      </c>
      <c r="B14" s="17">
        <v>27.438578</v>
      </c>
      <c r="C14" s="1">
        <f t="shared" ref="C14:C77" si="0">(B14/B13)-1</f>
        <v>2.6978501394787635E-3</v>
      </c>
      <c r="E14" s="1"/>
      <c r="F14" s="1"/>
      <c r="G14" s="1"/>
      <c r="J14" s="19">
        <v>0.1</v>
      </c>
      <c r="K14" s="19">
        <v>-0.15</v>
      </c>
      <c r="L14" s="22" t="s">
        <v>73</v>
      </c>
      <c r="M14" s="3">
        <v>1</v>
      </c>
    </row>
    <row r="15" spans="1:25">
      <c r="A15" s="16">
        <v>38504</v>
      </c>
      <c r="B15" s="17">
        <v>27.807673999999999</v>
      </c>
      <c r="C15" s="1">
        <f t="shared" si="0"/>
        <v>1.345171750518559E-2</v>
      </c>
      <c r="E15" s="1"/>
      <c r="F15" s="1"/>
      <c r="G15" s="1">
        <v>1.4999999999999999E-2</v>
      </c>
      <c r="J15" s="19">
        <v>0.05</v>
      </c>
      <c r="K15" s="19">
        <v>-0.1</v>
      </c>
      <c r="L15" s="22" t="s">
        <v>31</v>
      </c>
      <c r="M15" s="3">
        <v>5</v>
      </c>
    </row>
    <row r="16" spans="1:25">
      <c r="A16" s="16">
        <v>38534</v>
      </c>
      <c r="B16" s="17">
        <v>28.574276000000001</v>
      </c>
      <c r="C16" s="1">
        <f t="shared" si="0"/>
        <v>2.7568001552377375E-2</v>
      </c>
      <c r="E16" s="1"/>
      <c r="F16" s="1"/>
      <c r="G16" s="1"/>
      <c r="J16" s="19">
        <v>0</v>
      </c>
      <c r="K16" s="19">
        <v>-0.05</v>
      </c>
      <c r="L16" s="22" t="s">
        <v>32</v>
      </c>
      <c r="M16" s="3">
        <v>19</v>
      </c>
    </row>
    <row r="17" spans="1:13">
      <c r="A17" s="16">
        <v>38565</v>
      </c>
      <c r="B17" s="17">
        <v>29.386296999999999</v>
      </c>
      <c r="C17" s="1">
        <f t="shared" si="0"/>
        <v>2.8417902871799683E-2</v>
      </c>
      <c r="E17" s="1"/>
      <c r="F17" s="1"/>
      <c r="G17" s="1"/>
      <c r="J17" s="19">
        <v>-0.05</v>
      </c>
      <c r="K17" s="19">
        <v>0</v>
      </c>
      <c r="L17" s="22" t="s">
        <v>33</v>
      </c>
      <c r="M17" s="3">
        <v>54</v>
      </c>
    </row>
    <row r="18" spans="1:13">
      <c r="A18" s="16">
        <v>38596</v>
      </c>
      <c r="B18" s="17">
        <v>29.772448000000001</v>
      </c>
      <c r="C18" s="1">
        <f t="shared" si="0"/>
        <v>1.3140512395964699E-2</v>
      </c>
      <c r="E18" s="1"/>
      <c r="F18" s="1"/>
      <c r="G18" s="1">
        <v>0.02</v>
      </c>
      <c r="J18" s="19">
        <v>-0.1</v>
      </c>
      <c r="K18" s="19">
        <v>0.05</v>
      </c>
      <c r="L18" s="19" t="s">
        <v>34</v>
      </c>
      <c r="M18" s="3">
        <v>70</v>
      </c>
    </row>
    <row r="19" spans="1:13">
      <c r="A19" s="16">
        <v>38626</v>
      </c>
      <c r="B19" s="17">
        <v>29.153486000000001</v>
      </c>
      <c r="C19" s="1">
        <f t="shared" si="0"/>
        <v>-2.0789758369886169E-2</v>
      </c>
      <c r="E19" s="1"/>
      <c r="F19" s="1"/>
      <c r="G19" s="1"/>
      <c r="J19" s="19">
        <v>-0.15</v>
      </c>
      <c r="K19" s="19">
        <v>0.1</v>
      </c>
      <c r="L19" s="19" t="s">
        <v>35</v>
      </c>
      <c r="M19" s="3">
        <v>25</v>
      </c>
    </row>
    <row r="20" spans="1:13">
      <c r="A20" s="16">
        <v>38657</v>
      </c>
      <c r="B20" s="17">
        <v>29.409025</v>
      </c>
      <c r="C20" s="1">
        <f t="shared" si="0"/>
        <v>8.7652982562702597E-3</v>
      </c>
      <c r="D20" s="28">
        <v>338.06</v>
      </c>
      <c r="E20" s="1"/>
      <c r="F20" s="1"/>
      <c r="G20" s="1"/>
      <c r="J20" s="19">
        <v>-0.2</v>
      </c>
      <c r="K20" s="19">
        <v>0.15</v>
      </c>
      <c r="L20" s="19" t="s">
        <v>36</v>
      </c>
      <c r="M20" s="3">
        <v>7</v>
      </c>
    </row>
    <row r="21" spans="1:13">
      <c r="A21" s="16">
        <v>38687</v>
      </c>
      <c r="B21" s="17">
        <v>29.868973</v>
      </c>
      <c r="C21" s="1">
        <f t="shared" si="0"/>
        <v>1.5639688837015164E-2</v>
      </c>
      <c r="D21" s="28">
        <v>350.22</v>
      </c>
      <c r="E21" s="1">
        <f>D21/D20-1</f>
        <v>3.5969946163403099E-2</v>
      </c>
      <c r="F21" s="1">
        <f>C21-E21</f>
        <v>-2.0330257326387935E-2</v>
      </c>
      <c r="G21" s="1">
        <v>2.2000000000000002E-2</v>
      </c>
      <c r="J21" s="3"/>
      <c r="K21" s="3" t="s">
        <v>37</v>
      </c>
      <c r="L21" s="3" t="s">
        <v>38</v>
      </c>
      <c r="M21" s="3">
        <v>0</v>
      </c>
    </row>
    <row r="22" spans="1:13">
      <c r="A22" s="16">
        <v>38718</v>
      </c>
      <c r="B22" s="17">
        <v>32.59111</v>
      </c>
      <c r="C22" s="1">
        <f t="shared" si="0"/>
        <v>9.1135942303741002E-2</v>
      </c>
      <c r="D22" s="28">
        <v>374.2</v>
      </c>
      <c r="E22" s="1">
        <f t="shared" ref="E22:E85" si="1">D22/D21-1</f>
        <v>6.8471246644965955E-2</v>
      </c>
      <c r="F22" s="1">
        <f t="shared" ref="F22:F85" si="2">C22-E22</f>
        <v>2.2664695658775047E-2</v>
      </c>
      <c r="G22" s="1"/>
    </row>
    <row r="23" spans="1:13">
      <c r="A23" s="16">
        <v>38749</v>
      </c>
      <c r="B23" s="17">
        <v>32.486221</v>
      </c>
      <c r="C23" s="1">
        <f t="shared" si="0"/>
        <v>-3.2183316247896832E-3</v>
      </c>
      <c r="D23" s="28">
        <v>375.74</v>
      </c>
      <c r="E23" s="1">
        <f t="shared" si="1"/>
        <v>4.1154462854089413E-3</v>
      </c>
      <c r="F23" s="1">
        <f t="shared" si="2"/>
        <v>-7.3337779101986245E-3</v>
      </c>
      <c r="G23" s="1"/>
    </row>
    <row r="24" spans="1:13">
      <c r="A24" s="16">
        <v>38777</v>
      </c>
      <c r="B24" s="17">
        <v>33.791496000000002</v>
      </c>
      <c r="C24" s="1">
        <f t="shared" si="0"/>
        <v>4.0179342497239201E-2</v>
      </c>
      <c r="D24" s="28">
        <v>389.81</v>
      </c>
      <c r="E24" s="1">
        <f t="shared" si="1"/>
        <v>3.7446106350135677E-2</v>
      </c>
      <c r="F24" s="1">
        <f t="shared" si="2"/>
        <v>2.7332361471035238E-3</v>
      </c>
      <c r="G24" s="1">
        <v>2.8999999999999998E-2</v>
      </c>
      <c r="J24" s="23" t="s">
        <v>74</v>
      </c>
    </row>
    <row r="25" spans="1:13">
      <c r="A25" s="16">
        <v>38808</v>
      </c>
      <c r="B25" s="17">
        <v>35.557121000000002</v>
      </c>
      <c r="C25" s="1">
        <f t="shared" si="0"/>
        <v>5.2250572155787323E-2</v>
      </c>
      <c r="D25" s="28">
        <v>408.78</v>
      </c>
      <c r="E25" s="1">
        <f t="shared" si="1"/>
        <v>4.8664734101228735E-2</v>
      </c>
      <c r="F25" s="1">
        <f t="shared" si="2"/>
        <v>3.5858380545585877E-3</v>
      </c>
      <c r="G25" s="1"/>
      <c r="J25" s="3" t="s">
        <v>40</v>
      </c>
      <c r="K25" s="24">
        <v>4.6072043570785292E-3</v>
      </c>
    </row>
    <row r="26" spans="1:13">
      <c r="A26" s="16">
        <v>38838</v>
      </c>
      <c r="B26" s="17">
        <v>34.514060999999998</v>
      </c>
      <c r="C26" s="1">
        <f t="shared" si="0"/>
        <v>-2.9334770945038113E-2</v>
      </c>
      <c r="D26" s="29">
        <v>394.51</v>
      </c>
      <c r="E26" s="1">
        <f t="shared" si="1"/>
        <v>-3.4908752874406757E-2</v>
      </c>
      <c r="F26" s="1">
        <f t="shared" si="2"/>
        <v>5.5739819293686432E-3</v>
      </c>
      <c r="G26" s="1"/>
      <c r="J26" s="3" t="s">
        <v>41</v>
      </c>
      <c r="K26" s="24">
        <v>4.0979837753893963E-3</v>
      </c>
    </row>
    <row r="27" spans="1:13">
      <c r="A27" s="16">
        <v>38869</v>
      </c>
      <c r="B27" s="17">
        <v>34.863689000000001</v>
      </c>
      <c r="C27" s="1">
        <f t="shared" si="0"/>
        <v>1.0130016285246901E-2</v>
      </c>
      <c r="D27" s="29">
        <v>394.47</v>
      </c>
      <c r="E27" s="1">
        <f t="shared" si="1"/>
        <v>-1.0139159970590228E-4</v>
      </c>
      <c r="F27" s="1">
        <f t="shared" si="2"/>
        <v>1.0231407884952803E-2</v>
      </c>
      <c r="G27" s="1">
        <v>3.4000000000000002E-2</v>
      </c>
      <c r="J27" s="3" t="s">
        <v>42</v>
      </c>
      <c r="K27" s="24">
        <v>6.0500776399843303E-3</v>
      </c>
    </row>
    <row r="28" spans="1:13">
      <c r="A28" s="16">
        <v>38899</v>
      </c>
      <c r="B28" s="17">
        <v>35.224972000000001</v>
      </c>
      <c r="C28" s="1">
        <f t="shared" si="0"/>
        <v>1.0362730117286167E-2</v>
      </c>
      <c r="D28" s="28">
        <v>399.86</v>
      </c>
      <c r="E28" s="1">
        <f t="shared" si="1"/>
        <v>1.3663903465409355E-2</v>
      </c>
      <c r="F28" s="1">
        <f t="shared" si="2"/>
        <v>-3.3011733481231875E-3</v>
      </c>
      <c r="G28" s="1"/>
      <c r="J28" s="3" t="s">
        <v>43</v>
      </c>
      <c r="K28" s="3" t="e">
        <v>#N/A</v>
      </c>
    </row>
    <row r="29" spans="1:13">
      <c r="A29" s="16">
        <v>38930</v>
      </c>
      <c r="B29" s="17">
        <v>36.367080999999999</v>
      </c>
      <c r="C29" s="1">
        <f t="shared" si="0"/>
        <v>3.242327630523012E-2</v>
      </c>
      <c r="D29" s="28">
        <v>411.59</v>
      </c>
      <c r="E29" s="1">
        <f t="shared" si="1"/>
        <v>2.9335267343570059E-2</v>
      </c>
      <c r="F29" s="1">
        <f t="shared" si="2"/>
        <v>3.0880089616600603E-3</v>
      </c>
      <c r="G29" s="1"/>
      <c r="J29" s="3" t="s">
        <v>44</v>
      </c>
      <c r="K29" s="24">
        <v>5.5284823652161183E-2</v>
      </c>
    </row>
    <row r="30" spans="1:13">
      <c r="A30" s="16">
        <v>38961</v>
      </c>
      <c r="B30" s="17">
        <v>36.774990000000003</v>
      </c>
      <c r="C30" s="1">
        <f t="shared" si="0"/>
        <v>1.1216434995154012E-2</v>
      </c>
      <c r="D30" s="28">
        <v>415.46</v>
      </c>
      <c r="E30" s="1">
        <f t="shared" si="1"/>
        <v>9.402560800796822E-3</v>
      </c>
      <c r="F30" s="1">
        <f t="shared" si="2"/>
        <v>1.8138741943571901E-3</v>
      </c>
      <c r="G30" s="1">
        <v>3.2000000000000001E-2</v>
      </c>
      <c r="J30" s="3" t="s">
        <v>45</v>
      </c>
      <c r="K30" s="24">
        <v>3.0564117262505608E-3</v>
      </c>
    </row>
    <row r="31" spans="1:13">
      <c r="A31" s="16">
        <v>38991</v>
      </c>
      <c r="B31" s="17">
        <v>38.132720999999997</v>
      </c>
      <c r="C31" s="1">
        <f t="shared" si="0"/>
        <v>3.6919955654644454E-2</v>
      </c>
      <c r="D31" s="28">
        <v>433.97</v>
      </c>
      <c r="E31" s="1">
        <f t="shared" si="1"/>
        <v>4.4553025562027671E-2</v>
      </c>
      <c r="F31" s="1">
        <f t="shared" si="2"/>
        <v>-7.6330699073832164E-3</v>
      </c>
      <c r="G31" s="1"/>
      <c r="J31" s="3" t="s">
        <v>46</v>
      </c>
      <c r="K31" s="25">
        <v>1.4475384230114563</v>
      </c>
    </row>
    <row r="32" spans="1:13">
      <c r="A32" s="16">
        <v>39022</v>
      </c>
      <c r="B32" s="17">
        <v>39.566181</v>
      </c>
      <c r="C32" s="1">
        <f t="shared" si="0"/>
        <v>3.7591337895871657E-2</v>
      </c>
      <c r="D32" s="28">
        <v>449.83</v>
      </c>
      <c r="E32" s="1">
        <f t="shared" si="1"/>
        <v>3.6546305044127481E-2</v>
      </c>
      <c r="F32" s="1">
        <f t="shared" si="2"/>
        <v>1.0450328517441765E-3</v>
      </c>
      <c r="G32" s="1"/>
      <c r="J32" s="3" t="s">
        <v>47</v>
      </c>
      <c r="K32" s="25">
        <v>-0.46629360614731175</v>
      </c>
    </row>
    <row r="33" spans="1:15">
      <c r="A33" s="16">
        <v>39052</v>
      </c>
      <c r="B33" s="17">
        <v>39.717689999999997</v>
      </c>
      <c r="C33" s="1">
        <f t="shared" si="0"/>
        <v>3.8292550903509248E-3</v>
      </c>
      <c r="D33" s="28">
        <v>465.06</v>
      </c>
      <c r="E33" s="1">
        <f t="shared" si="1"/>
        <v>3.3857234955427584E-2</v>
      </c>
      <c r="F33" s="1">
        <f t="shared" si="2"/>
        <v>-3.0027979865076659E-2</v>
      </c>
      <c r="G33" s="1">
        <v>3.7999999999999999E-2</v>
      </c>
      <c r="J33" s="3" t="s">
        <v>48</v>
      </c>
      <c r="K33" s="24">
        <v>0.36094662638405328</v>
      </c>
    </row>
    <row r="34" spans="1:15">
      <c r="A34" s="16">
        <v>39083</v>
      </c>
      <c r="B34" s="17">
        <v>41.421520000000001</v>
      </c>
      <c r="C34" s="1">
        <f t="shared" si="0"/>
        <v>4.2898517008416182E-2</v>
      </c>
      <c r="D34" s="28">
        <v>468.18</v>
      </c>
      <c r="E34" s="1">
        <f t="shared" si="1"/>
        <v>6.7088117662237323E-3</v>
      </c>
      <c r="F34" s="1">
        <f t="shared" si="2"/>
        <v>3.6189705242192449E-2</v>
      </c>
      <c r="G34" s="1"/>
      <c r="J34" s="3" t="s">
        <v>49</v>
      </c>
      <c r="K34" s="24">
        <v>-0.21828730325991152</v>
      </c>
    </row>
    <row r="35" spans="1:15">
      <c r="A35" s="16">
        <v>39114</v>
      </c>
      <c r="B35" s="17">
        <v>40.906962999999998</v>
      </c>
      <c r="C35" s="1">
        <f t="shared" si="0"/>
        <v>-1.242245576695411E-2</v>
      </c>
      <c r="D35" s="29">
        <v>466.68</v>
      </c>
      <c r="E35" s="1">
        <f t="shared" si="1"/>
        <v>-3.2038959374599552E-3</v>
      </c>
      <c r="F35" s="1">
        <f t="shared" si="2"/>
        <v>-9.2185598294941551E-3</v>
      </c>
      <c r="G35" s="1"/>
      <c r="J35" s="3" t="s">
        <v>50</v>
      </c>
      <c r="K35" s="24">
        <v>0.14265932312414176</v>
      </c>
    </row>
    <row r="36" spans="1:15">
      <c r="A36" s="16">
        <v>39142</v>
      </c>
      <c r="B36" s="17">
        <v>42.432670999999999</v>
      </c>
      <c r="C36" s="1">
        <f t="shared" si="0"/>
        <v>3.7297024469892914E-2</v>
      </c>
      <c r="D36" s="28">
        <v>482.86</v>
      </c>
      <c r="E36" s="1">
        <f t="shared" si="1"/>
        <v>3.4670437987486036E-2</v>
      </c>
      <c r="F36" s="1">
        <f>C36-E36</f>
        <v>2.6265864824068785E-3</v>
      </c>
      <c r="G36" s="1">
        <v>3.5000000000000003E-2</v>
      </c>
      <c r="J36" s="3" t="s">
        <v>51</v>
      </c>
      <c r="K36" s="25">
        <v>0.83851119298829224</v>
      </c>
    </row>
    <row r="37" spans="1:15">
      <c r="A37" s="16">
        <v>39173</v>
      </c>
      <c r="B37" s="17">
        <v>44.873809999999999</v>
      </c>
      <c r="C37" s="1">
        <f t="shared" si="0"/>
        <v>5.7529703939683596E-2</v>
      </c>
      <c r="D37" s="28">
        <v>511.49</v>
      </c>
      <c r="E37" s="1">
        <f t="shared" si="1"/>
        <v>5.9292548564801484E-2</v>
      </c>
      <c r="F37" s="1">
        <f t="shared" si="2"/>
        <v>-1.7628446251178875E-3</v>
      </c>
      <c r="G37" s="1"/>
      <c r="J37" s="3" t="s">
        <v>16</v>
      </c>
      <c r="K37" s="3">
        <v>182</v>
      </c>
    </row>
    <row r="38" spans="1:15">
      <c r="A38" s="16">
        <v>39203</v>
      </c>
      <c r="B38" s="17">
        <v>45.831119999999999</v>
      </c>
      <c r="C38" s="1">
        <f t="shared" si="0"/>
        <v>2.1333379091278415E-2</v>
      </c>
      <c r="D38" s="28">
        <v>517.27</v>
      </c>
      <c r="E38" s="1">
        <f t="shared" si="1"/>
        <v>1.1300318676807031E-2</v>
      </c>
      <c r="F38" s="1">
        <f t="shared" si="2"/>
        <v>1.0033060414471384E-2</v>
      </c>
      <c r="G38" s="1"/>
    </row>
    <row r="39" spans="1:15">
      <c r="A39" s="16">
        <v>39234</v>
      </c>
      <c r="B39" s="17">
        <v>45.669578999999999</v>
      </c>
      <c r="C39" s="1">
        <f t="shared" si="0"/>
        <v>-3.5247011201122724E-3</v>
      </c>
      <c r="D39" s="29">
        <v>514.86</v>
      </c>
      <c r="E39" s="1">
        <f t="shared" si="1"/>
        <v>-4.6590755311538556E-3</v>
      </c>
      <c r="F39" s="1">
        <f t="shared" si="2"/>
        <v>1.1343744110415832E-3</v>
      </c>
      <c r="G39" s="1">
        <v>3.1E-2</v>
      </c>
      <c r="J39" s="3" t="s">
        <v>75</v>
      </c>
      <c r="K39" s="3" t="s">
        <v>76</v>
      </c>
      <c r="L39" s="3" t="s">
        <v>54</v>
      </c>
      <c r="M39" s="3" t="s">
        <v>55</v>
      </c>
    </row>
    <row r="40" spans="1:15">
      <c r="A40" s="16">
        <v>39264</v>
      </c>
      <c r="B40" s="17">
        <v>44.371215999999997</v>
      </c>
      <c r="C40" s="1">
        <f t="shared" si="0"/>
        <v>-2.8429493514709248E-2</v>
      </c>
      <c r="D40" s="29">
        <v>504.88</v>
      </c>
      <c r="E40" s="1">
        <f t="shared" si="1"/>
        <v>-1.9383910189177622E-2</v>
      </c>
      <c r="F40" s="1">
        <f t="shared" si="2"/>
        <v>-9.0455833255316254E-3</v>
      </c>
      <c r="G40" s="1"/>
      <c r="J40" s="3" t="s">
        <v>56</v>
      </c>
      <c r="K40" s="9">
        <v>-3.7999999999999999E-2</v>
      </c>
      <c r="L40" s="9">
        <v>3.9399999999999998E-2</v>
      </c>
      <c r="M40" s="9">
        <f>K40-L40</f>
        <v>-7.7399999999999997E-2</v>
      </c>
    </row>
    <row r="41" spans="1:15">
      <c r="A41" s="16">
        <v>39295</v>
      </c>
      <c r="B41" s="17">
        <v>44.490887000000001</v>
      </c>
      <c r="C41" s="1">
        <f t="shared" si="0"/>
        <v>2.6970412530502585E-3</v>
      </c>
      <c r="D41" s="29">
        <v>496.44</v>
      </c>
      <c r="E41" s="1">
        <f t="shared" si="1"/>
        <v>-1.6716843606401466E-2</v>
      </c>
      <c r="F41" s="1">
        <f t="shared" si="2"/>
        <v>1.9413884859451724E-2</v>
      </c>
      <c r="G41" s="1"/>
      <c r="J41" s="3" t="s">
        <v>57</v>
      </c>
      <c r="K41" s="9">
        <v>-1.4E-2</v>
      </c>
      <c r="L41" s="9">
        <v>3.0000000000000001E-3</v>
      </c>
      <c r="M41" s="9">
        <f>K41-L41</f>
        <v>-1.7000000000000001E-2</v>
      </c>
    </row>
    <row r="42" spans="1:15">
      <c r="A42" s="16">
        <v>39326</v>
      </c>
      <c r="B42" s="17">
        <v>46.788429000000001</v>
      </c>
      <c r="C42" s="1">
        <f t="shared" si="0"/>
        <v>5.1640732629133712E-2</v>
      </c>
      <c r="D42" s="28">
        <v>519.41999999999996</v>
      </c>
      <c r="E42" s="1">
        <f t="shared" si="1"/>
        <v>4.6289581822576586E-2</v>
      </c>
      <c r="F42" s="1">
        <f t="shared" si="2"/>
        <v>5.3511508065571256E-3</v>
      </c>
      <c r="G42" s="1">
        <v>0.03</v>
      </c>
      <c r="J42" s="3" t="s">
        <v>58</v>
      </c>
      <c r="K42" s="9">
        <v>3.0000000000000001E-3</v>
      </c>
      <c r="L42" s="9">
        <v>8.1799999999999998E-2</v>
      </c>
      <c r="M42" s="9">
        <f>K42-L42</f>
        <v>-7.8799999999999995E-2</v>
      </c>
    </row>
    <row r="43" spans="1:15">
      <c r="A43" s="16">
        <v>39356</v>
      </c>
      <c r="B43" s="17">
        <v>49.008186000000002</v>
      </c>
      <c r="C43" s="1">
        <f t="shared" si="0"/>
        <v>4.744243496613243E-2</v>
      </c>
      <c r="D43" s="28">
        <v>544.17999999999995</v>
      </c>
      <c r="E43" s="1">
        <f t="shared" si="1"/>
        <v>4.7668553386469581E-2</v>
      </c>
      <c r="F43" s="1">
        <f t="shared" si="2"/>
        <v>-2.2611842033715135E-4</v>
      </c>
      <c r="G43" s="1"/>
      <c r="J43" s="3" t="s">
        <v>59</v>
      </c>
      <c r="K43" s="9">
        <v>5.6000000000000001E-2</v>
      </c>
      <c r="L43" s="9">
        <v>1.23E-2</v>
      </c>
      <c r="M43" s="9">
        <f>K43-L43</f>
        <v>4.3700000000000003E-2</v>
      </c>
    </row>
    <row r="44" spans="1:15">
      <c r="A44" s="16">
        <v>39387</v>
      </c>
      <c r="B44" s="17">
        <v>47.165379000000001</v>
      </c>
      <c r="C44" s="1">
        <f t="shared" si="0"/>
        <v>-3.7602024282229141E-2</v>
      </c>
      <c r="D44" s="29">
        <v>523.77</v>
      </c>
      <c r="E44" s="1">
        <f t="shared" si="1"/>
        <v>-3.750597228858088E-2</v>
      </c>
      <c r="F44" s="1">
        <f t="shared" si="2"/>
        <v>-9.605199364826067E-5</v>
      </c>
      <c r="G44" s="1"/>
    </row>
    <row r="45" spans="1:15">
      <c r="A45" s="16">
        <v>39417</v>
      </c>
      <c r="B45" s="17">
        <v>44.766109</v>
      </c>
      <c r="C45" s="1">
        <f t="shared" si="0"/>
        <v>-5.0869303944318989E-2</v>
      </c>
      <c r="D45" s="29">
        <v>513.53</v>
      </c>
      <c r="E45" s="1">
        <f t="shared" si="1"/>
        <v>-1.9550566088168519E-2</v>
      </c>
      <c r="F45" s="1">
        <f t="shared" si="2"/>
        <v>-3.1318737856150469E-2</v>
      </c>
      <c r="G45" s="1">
        <v>2.3E-2</v>
      </c>
    </row>
    <row r="46" spans="1:15">
      <c r="A46" s="16">
        <v>39448</v>
      </c>
      <c r="B46" s="17">
        <v>42.039428999999998</v>
      </c>
      <c r="C46" s="1">
        <f t="shared" si="0"/>
        <v>-6.0909470599734283E-2</v>
      </c>
      <c r="D46" s="29">
        <v>459.53</v>
      </c>
      <c r="E46" s="1">
        <f t="shared" si="1"/>
        <v>-0.10515451872334625</v>
      </c>
      <c r="F46" s="1">
        <f t="shared" si="2"/>
        <v>4.4245048123611963E-2</v>
      </c>
      <c r="G46" s="1"/>
    </row>
    <row r="47" spans="1:15">
      <c r="A47" s="16">
        <v>39479</v>
      </c>
      <c r="B47" s="17">
        <v>41.915996999999997</v>
      </c>
      <c r="C47" s="1">
        <f t="shared" si="0"/>
        <v>-2.9361007733954558E-3</v>
      </c>
      <c r="D47" s="28">
        <v>468.18</v>
      </c>
      <c r="E47" s="1">
        <f t="shared" si="1"/>
        <v>1.8823580614976354E-2</v>
      </c>
      <c r="F47" s="1">
        <f t="shared" si="2"/>
        <v>-2.175968138837181E-2</v>
      </c>
      <c r="G47" s="1"/>
      <c r="J47" s="23" t="s">
        <v>77</v>
      </c>
      <c r="K47" s="3"/>
      <c r="O47" t="s">
        <v>83</v>
      </c>
    </row>
    <row r="48" spans="1:15">
      <c r="A48" s="16">
        <v>39508</v>
      </c>
      <c r="B48" s="17">
        <v>42.465397000000003</v>
      </c>
      <c r="C48" s="1">
        <f t="shared" si="0"/>
        <v>1.3107167652483653E-2</v>
      </c>
      <c r="D48" s="28">
        <v>469.18</v>
      </c>
      <c r="E48" s="1">
        <f t="shared" si="1"/>
        <v>2.1359306249733034E-3</v>
      </c>
      <c r="F48" s="1">
        <f t="shared" si="2"/>
        <v>1.097123702751035E-2</v>
      </c>
      <c r="G48" s="1">
        <v>2.2000000000000002E-2</v>
      </c>
      <c r="J48" s="3" t="s">
        <v>78</v>
      </c>
      <c r="K48" s="30">
        <v>0.24</v>
      </c>
    </row>
    <row r="49" spans="1:11">
      <c r="A49" s="16">
        <v>39539</v>
      </c>
      <c r="B49" s="17">
        <v>44.206245000000003</v>
      </c>
      <c r="C49" s="1">
        <f t="shared" si="0"/>
        <v>4.099450665679627E-2</v>
      </c>
      <c r="D49" s="28">
        <v>485.92</v>
      </c>
      <c r="E49" s="1">
        <f t="shared" si="1"/>
        <v>3.5679270216121717E-2</v>
      </c>
      <c r="F49" s="1">
        <f t="shared" si="2"/>
        <v>5.3152364406745534E-3</v>
      </c>
      <c r="G49" s="1"/>
      <c r="J49" s="3" t="s">
        <v>79</v>
      </c>
      <c r="K49" s="30">
        <v>0.158</v>
      </c>
    </row>
    <row r="50" spans="1:11">
      <c r="A50" s="16">
        <v>39569</v>
      </c>
      <c r="B50" s="17">
        <v>44.502541000000001</v>
      </c>
      <c r="C50" s="1">
        <f t="shared" si="0"/>
        <v>6.7025824066260231E-3</v>
      </c>
      <c r="D50" s="29">
        <v>484.41</v>
      </c>
      <c r="E50" s="1">
        <f t="shared" si="1"/>
        <v>-3.1075074086268639E-3</v>
      </c>
      <c r="F50" s="1">
        <f t="shared" si="2"/>
        <v>9.810089815252887E-3</v>
      </c>
      <c r="G50" s="1"/>
      <c r="J50" s="3" t="s">
        <v>80</v>
      </c>
      <c r="K50" s="30">
        <v>0.14499999999999999</v>
      </c>
    </row>
    <row r="51" spans="1:11">
      <c r="A51" s="16">
        <v>39600</v>
      </c>
      <c r="B51" s="17">
        <v>40.502319</v>
      </c>
      <c r="C51" s="1">
        <f t="shared" si="0"/>
        <v>-8.9887496536433797E-2</v>
      </c>
      <c r="D51" s="29">
        <v>441.04</v>
      </c>
      <c r="E51" s="1">
        <f t="shared" si="1"/>
        <v>-8.953159513635145E-2</v>
      </c>
      <c r="F51" s="1">
        <f t="shared" si="2"/>
        <v>-3.5590140008234794E-4</v>
      </c>
      <c r="G51" s="1">
        <v>1.1000000000000001E-2</v>
      </c>
      <c r="J51" s="3" t="s">
        <v>81</v>
      </c>
      <c r="K51" s="30">
        <v>0.14199999999999999</v>
      </c>
    </row>
    <row r="52" spans="1:11">
      <c r="A52" s="16">
        <v>39630</v>
      </c>
      <c r="B52" s="17">
        <v>39.335594</v>
      </c>
      <c r="C52" s="1">
        <f t="shared" si="0"/>
        <v>-2.8806375259648687E-2</v>
      </c>
      <c r="D52" s="29">
        <v>427.26</v>
      </c>
      <c r="E52" s="1">
        <f t="shared" si="1"/>
        <v>-3.124433157990214E-2</v>
      </c>
      <c r="F52" s="1">
        <f t="shared" si="2"/>
        <v>2.4379563202534538E-3</v>
      </c>
      <c r="G52" s="1"/>
      <c r="J52" s="3" t="s">
        <v>82</v>
      </c>
      <c r="K52" s="30">
        <v>6.7000000000000004E-2</v>
      </c>
    </row>
    <row r="53" spans="1:11">
      <c r="A53" s="16">
        <v>39661</v>
      </c>
      <c r="B53" s="17">
        <v>37.823154000000002</v>
      </c>
      <c r="C53" s="1">
        <f t="shared" si="0"/>
        <v>-3.8449654529177812E-2</v>
      </c>
      <c r="D53" s="29">
        <v>409.8</v>
      </c>
      <c r="E53" s="1">
        <f t="shared" si="1"/>
        <v>-4.0865047043954439E-2</v>
      </c>
      <c r="F53" s="1">
        <f t="shared" si="2"/>
        <v>2.4153925147766264E-3</v>
      </c>
      <c r="G53" s="1"/>
    </row>
    <row r="54" spans="1:11">
      <c r="A54" s="16">
        <v>39692</v>
      </c>
      <c r="B54" s="17">
        <v>32.946323</v>
      </c>
      <c r="C54" s="1">
        <f t="shared" si="0"/>
        <v>-0.12893771365550322</v>
      </c>
      <c r="D54" s="29">
        <v>346.2</v>
      </c>
      <c r="E54" s="1">
        <f t="shared" si="1"/>
        <v>-0.15519765739385072</v>
      </c>
      <c r="F54" s="1">
        <f t="shared" si="2"/>
        <v>2.6259943738347502E-2</v>
      </c>
      <c r="G54" s="1">
        <v>1E-3</v>
      </c>
    </row>
    <row r="55" spans="1:11">
      <c r="A55" s="16">
        <v>39722</v>
      </c>
      <c r="B55" s="17">
        <v>25.754559</v>
      </c>
      <c r="C55" s="1">
        <f t="shared" si="0"/>
        <v>-0.21828730325991152</v>
      </c>
      <c r="D55" s="29">
        <v>269.25</v>
      </c>
      <c r="E55" s="1">
        <f t="shared" si="1"/>
        <v>-0.22227036395147315</v>
      </c>
      <c r="F55" s="1">
        <f t="shared" si="2"/>
        <v>3.983060691561624E-3</v>
      </c>
      <c r="G55" s="1"/>
      <c r="J55" t="s">
        <v>60</v>
      </c>
    </row>
    <row r="56" spans="1:11">
      <c r="A56" s="16">
        <v>39753</v>
      </c>
      <c r="B56" s="17">
        <v>23.853221999999999</v>
      </c>
      <c r="C56" s="1">
        <f t="shared" si="0"/>
        <v>-7.3825259442415692E-2</v>
      </c>
      <c r="D56" s="29">
        <v>250.14</v>
      </c>
      <c r="E56" s="1">
        <f t="shared" si="1"/>
        <v>-7.0974930362116995E-2</v>
      </c>
      <c r="F56" s="1">
        <f t="shared" si="2"/>
        <v>-2.8503290802986969E-3</v>
      </c>
      <c r="G56" s="1"/>
      <c r="J56" t="s">
        <v>61</v>
      </c>
    </row>
    <row r="57" spans="1:11">
      <c r="A57" s="16">
        <v>39783</v>
      </c>
      <c r="B57" s="17">
        <v>23.68037</v>
      </c>
      <c r="C57" s="1">
        <f t="shared" si="0"/>
        <v>-7.246484353350624E-3</v>
      </c>
      <c r="D57" s="28">
        <v>263.52</v>
      </c>
      <c r="E57" s="1">
        <f t="shared" si="1"/>
        <v>5.3490045574478229E-2</v>
      </c>
      <c r="F57" s="1">
        <f t="shared" si="2"/>
        <v>-6.0736529927828853E-2</v>
      </c>
      <c r="G57" s="1">
        <v>-2.1000000000000001E-2</v>
      </c>
      <c r="J57" t="s">
        <v>62</v>
      </c>
    </row>
    <row r="58" spans="1:11">
      <c r="A58" s="16">
        <v>39814</v>
      </c>
      <c r="B58" s="17">
        <v>22.028025</v>
      </c>
      <c r="C58" s="1">
        <f t="shared" si="0"/>
        <v>-6.9776992504762436E-2</v>
      </c>
      <c r="D58" s="29">
        <v>234.48</v>
      </c>
      <c r="E58" s="1">
        <f t="shared" si="1"/>
        <v>-0.11020036429872493</v>
      </c>
      <c r="F58" s="1">
        <f t="shared" si="2"/>
        <v>4.0423371793962493E-2</v>
      </c>
      <c r="G58" s="1"/>
    </row>
    <row r="59" spans="1:11">
      <c r="A59" s="16">
        <v>39845</v>
      </c>
      <c r="B59" s="17">
        <v>19.741909</v>
      </c>
      <c r="C59" s="1">
        <f t="shared" si="0"/>
        <v>-0.10378215931750578</v>
      </c>
      <c r="D59" s="29">
        <v>210.69</v>
      </c>
      <c r="E59" s="1">
        <f t="shared" si="1"/>
        <v>-0.10145854657113607</v>
      </c>
      <c r="F59" s="1">
        <f t="shared" si="2"/>
        <v>-2.3236127463697187E-3</v>
      </c>
      <c r="G59" s="1"/>
    </row>
    <row r="60" spans="1:11">
      <c r="A60" s="16">
        <v>39873</v>
      </c>
      <c r="B60" s="17">
        <v>21.261545000000002</v>
      </c>
      <c r="C60" s="1">
        <f t="shared" si="0"/>
        <v>7.6975129406178677E-2</v>
      </c>
      <c r="D60" s="28">
        <v>224.95</v>
      </c>
      <c r="E60" s="1">
        <f t="shared" si="1"/>
        <v>6.768237695191992E-2</v>
      </c>
      <c r="F60" s="1">
        <f t="shared" si="2"/>
        <v>9.292752454258757E-3</v>
      </c>
      <c r="G60" s="1">
        <v>-5.7000000000000002E-2</v>
      </c>
    </row>
    <row r="61" spans="1:11">
      <c r="A61" s="16">
        <v>39904</v>
      </c>
      <c r="B61" s="17">
        <v>24.060866999999998</v>
      </c>
      <c r="C61" s="1">
        <f t="shared" si="0"/>
        <v>0.13166126920691767</v>
      </c>
      <c r="D61" s="28">
        <v>256.23</v>
      </c>
      <c r="E61" s="1">
        <f t="shared" si="1"/>
        <v>0.13905312291620375</v>
      </c>
      <c r="F61" s="1">
        <f t="shared" si="2"/>
        <v>-7.3918537092860781E-3</v>
      </c>
      <c r="G61" s="1"/>
    </row>
    <row r="62" spans="1:11">
      <c r="A62" s="16">
        <v>39934</v>
      </c>
      <c r="B62" s="17">
        <v>27.493373999999999</v>
      </c>
      <c r="C62" s="1">
        <f t="shared" si="0"/>
        <v>0.14265932312414176</v>
      </c>
      <c r="D62" s="28">
        <v>285.18</v>
      </c>
      <c r="E62" s="1">
        <f t="shared" si="1"/>
        <v>0.11298442805292108</v>
      </c>
      <c r="F62" s="1">
        <f t="shared" si="2"/>
        <v>2.9674895071220675E-2</v>
      </c>
      <c r="G62" s="1"/>
    </row>
    <row r="63" spans="1:11">
      <c r="A63" s="16">
        <v>39965</v>
      </c>
      <c r="B63" s="17">
        <v>26.846867</v>
      </c>
      <c r="C63" s="1">
        <f t="shared" si="0"/>
        <v>-2.3515011289629295E-2</v>
      </c>
      <c r="D63" s="29">
        <v>279.13</v>
      </c>
      <c r="E63" s="1">
        <f t="shared" si="1"/>
        <v>-2.1214671435584531E-2</v>
      </c>
      <c r="F63" s="1">
        <f t="shared" si="2"/>
        <v>-2.3003398540447639E-3</v>
      </c>
      <c r="G63" s="1">
        <v>-5.4000000000000006E-2</v>
      </c>
    </row>
    <row r="64" spans="1:11">
      <c r="A64" s="16">
        <v>39995</v>
      </c>
      <c r="B64" s="17">
        <v>29.892800999999999</v>
      </c>
      <c r="C64" s="1">
        <f t="shared" si="0"/>
        <v>0.11345584570445411</v>
      </c>
      <c r="D64" s="28">
        <v>307.58</v>
      </c>
      <c r="E64" s="1">
        <f t="shared" si="1"/>
        <v>0.10192383477232836</v>
      </c>
      <c r="F64" s="1">
        <f t="shared" si="2"/>
        <v>1.1532010932125747E-2</v>
      </c>
      <c r="G64" s="1"/>
    </row>
    <row r="65" spans="1:15">
      <c r="A65" s="16">
        <v>40026</v>
      </c>
      <c r="B65" s="17">
        <v>31.532412000000001</v>
      </c>
      <c r="C65" s="1">
        <f t="shared" si="0"/>
        <v>5.4849694413046102E-2</v>
      </c>
      <c r="D65" s="28">
        <v>327.78</v>
      </c>
      <c r="E65" s="1">
        <f t="shared" si="1"/>
        <v>6.5673970999414744E-2</v>
      </c>
      <c r="F65" s="1">
        <f t="shared" si="2"/>
        <v>-1.0824276586368642E-2</v>
      </c>
      <c r="G65" s="1"/>
      <c r="O65" t="s">
        <v>84</v>
      </c>
    </row>
    <row r="66" spans="1:15">
      <c r="A66" s="16">
        <v>40057</v>
      </c>
      <c r="B66" s="17">
        <v>33.052039999999998</v>
      </c>
      <c r="C66" s="1">
        <f t="shared" si="0"/>
        <v>4.8192570869618034E-2</v>
      </c>
      <c r="D66" s="28">
        <v>343.43</v>
      </c>
      <c r="E66" s="1">
        <f t="shared" si="1"/>
        <v>4.7745439013972879E-2</v>
      </c>
      <c r="F66" s="1">
        <f t="shared" si="2"/>
        <v>4.4713185564515534E-4</v>
      </c>
      <c r="G66" s="1">
        <v>-4.4999999999999998E-2</v>
      </c>
    </row>
    <row r="67" spans="1:15">
      <c r="A67" s="16">
        <v>40087</v>
      </c>
      <c r="B67" s="17">
        <v>32.198909999999998</v>
      </c>
      <c r="C67" s="1">
        <f t="shared" si="0"/>
        <v>-2.5811719942248623E-2</v>
      </c>
      <c r="D67" s="29">
        <v>338.66</v>
      </c>
      <c r="E67" s="1">
        <f t="shared" si="1"/>
        <v>-1.3889293305768269E-2</v>
      </c>
      <c r="F67" s="1">
        <f t="shared" si="2"/>
        <v>-1.1922426636480354E-2</v>
      </c>
      <c r="G67" s="1"/>
    </row>
    <row r="68" spans="1:15">
      <c r="A68" s="16">
        <v>40118</v>
      </c>
      <c r="B68" s="17">
        <v>33.658557999999999</v>
      </c>
      <c r="C68" s="1">
        <f t="shared" si="0"/>
        <v>4.5332217767620087E-2</v>
      </c>
      <c r="D68" s="28">
        <v>347.16</v>
      </c>
      <c r="E68" s="1">
        <f t="shared" si="1"/>
        <v>2.5098919270064357E-2</v>
      </c>
      <c r="F68" s="1">
        <f t="shared" si="2"/>
        <v>2.023329849755573E-2</v>
      </c>
      <c r="G68" s="1"/>
    </row>
    <row r="69" spans="1:15">
      <c r="A69" s="16">
        <v>40148</v>
      </c>
      <c r="B69" s="17">
        <v>32.312218000000001</v>
      </c>
      <c r="C69" s="1">
        <f t="shared" si="0"/>
        <v>-3.9999931072507544E-2</v>
      </c>
      <c r="D69" s="28">
        <v>351.96</v>
      </c>
      <c r="E69" s="1">
        <f t="shared" si="1"/>
        <v>1.3826477704804496E-2</v>
      </c>
      <c r="F69" s="1">
        <f t="shared" si="2"/>
        <v>-5.382640877731204E-2</v>
      </c>
      <c r="G69" s="1">
        <v>-2.3E-2</v>
      </c>
    </row>
    <row r="70" spans="1:15">
      <c r="A70" s="16">
        <v>40179</v>
      </c>
      <c r="B70" s="17">
        <v>31.473193999999999</v>
      </c>
      <c r="C70" s="1">
        <f t="shared" si="0"/>
        <v>-2.596615311273287E-2</v>
      </c>
      <c r="D70" s="29">
        <v>332.37</v>
      </c>
      <c r="E70" s="1">
        <f t="shared" si="1"/>
        <v>-5.5659734060688693E-2</v>
      </c>
      <c r="F70" s="1">
        <f t="shared" si="2"/>
        <v>2.9693580947955822E-2</v>
      </c>
      <c r="G70" s="1"/>
    </row>
    <row r="71" spans="1:15">
      <c r="A71" s="16">
        <v>40210</v>
      </c>
      <c r="B71" s="17">
        <v>31.300035000000001</v>
      </c>
      <c r="C71" s="1">
        <f t="shared" si="0"/>
        <v>-5.5017930496662482E-3</v>
      </c>
      <c r="D71" s="29">
        <v>324.44</v>
      </c>
      <c r="E71" s="1">
        <f t="shared" si="1"/>
        <v>-2.3858952372356135E-2</v>
      </c>
      <c r="F71" s="1">
        <f t="shared" si="2"/>
        <v>1.8357159322689887E-2</v>
      </c>
      <c r="G71" s="1"/>
    </row>
    <row r="72" spans="1:15">
      <c r="A72" s="16">
        <v>40238</v>
      </c>
      <c r="B72" s="17">
        <v>33.336371999999997</v>
      </c>
      <c r="C72" s="1">
        <f t="shared" si="0"/>
        <v>6.5058617346593905E-2</v>
      </c>
      <c r="D72" s="28">
        <v>345.46</v>
      </c>
      <c r="E72" s="1">
        <f t="shared" si="1"/>
        <v>6.4788558747379987E-2</v>
      </c>
      <c r="F72" s="1">
        <f t="shared" si="2"/>
        <v>2.7005859921391817E-4</v>
      </c>
      <c r="G72" s="1">
        <v>1.2E-2</v>
      </c>
    </row>
    <row r="73" spans="1:15">
      <c r="A73" s="16">
        <v>40269</v>
      </c>
      <c r="B73" s="17">
        <v>32.068851000000002</v>
      </c>
      <c r="C73" s="1">
        <f t="shared" si="0"/>
        <v>-3.8022163899538719E-2</v>
      </c>
      <c r="D73" s="29">
        <v>336.12</v>
      </c>
      <c r="E73" s="1">
        <f t="shared" si="1"/>
        <v>-2.7036415214496512E-2</v>
      </c>
      <c r="F73" s="1">
        <f t="shared" si="2"/>
        <v>-1.0985748685042207E-2</v>
      </c>
      <c r="G73" s="1"/>
    </row>
    <row r="74" spans="1:15">
      <c r="A74" s="16">
        <v>40299</v>
      </c>
      <c r="B74" s="17">
        <v>28.300936</v>
      </c>
      <c r="C74" s="1">
        <f t="shared" si="0"/>
        <v>-0.11749454322513775</v>
      </c>
      <c r="D74" s="29">
        <v>291.72000000000003</v>
      </c>
      <c r="E74" s="1">
        <f t="shared" si="1"/>
        <v>-0.13209568011424488</v>
      </c>
      <c r="F74" s="1">
        <f t="shared" si="2"/>
        <v>1.4601136889107136E-2</v>
      </c>
      <c r="G74" s="1"/>
    </row>
    <row r="75" spans="1:15">
      <c r="A75" s="16">
        <v>40330</v>
      </c>
      <c r="B75" s="17">
        <v>27.836880000000001</v>
      </c>
      <c r="C75" s="1">
        <f t="shared" si="0"/>
        <v>-1.639719619167368E-2</v>
      </c>
      <c r="D75" s="29">
        <v>288.89999999999998</v>
      </c>
      <c r="E75" s="1">
        <f t="shared" si="1"/>
        <v>-9.6668037844510613E-3</v>
      </c>
      <c r="F75" s="1">
        <f t="shared" si="2"/>
        <v>-6.7303924072226184E-3</v>
      </c>
      <c r="G75" s="1">
        <v>2.3E-2</v>
      </c>
    </row>
    <row r="76" spans="1:15">
      <c r="A76" s="16">
        <v>40360</v>
      </c>
      <c r="B76" s="17">
        <v>31.784872</v>
      </c>
      <c r="C76" s="1">
        <f t="shared" si="0"/>
        <v>0.14182595175896151</v>
      </c>
      <c r="D76" s="28">
        <v>322.60000000000002</v>
      </c>
      <c r="E76" s="1">
        <f t="shared" si="1"/>
        <v>0.11664935964001399</v>
      </c>
      <c r="F76" s="1">
        <f t="shared" si="2"/>
        <v>2.5176592118947516E-2</v>
      </c>
      <c r="G76" s="1"/>
    </row>
    <row r="77" spans="1:15">
      <c r="A77" s="16">
        <v>40391</v>
      </c>
      <c r="B77" s="17">
        <v>30.330338999999999</v>
      </c>
      <c r="C77" s="1">
        <f t="shared" si="0"/>
        <v>-4.5761801400364344E-2</v>
      </c>
      <c r="D77" s="29">
        <v>309.62</v>
      </c>
      <c r="E77" s="1">
        <f t="shared" si="1"/>
        <v>-4.0235585864848211E-2</v>
      </c>
      <c r="F77" s="1">
        <f t="shared" si="2"/>
        <v>-5.5262155355161324E-3</v>
      </c>
      <c r="G77" s="1"/>
    </row>
    <row r="78" spans="1:15">
      <c r="A78" s="16">
        <v>40422</v>
      </c>
      <c r="B78" s="17">
        <v>33.745021999999999</v>
      </c>
      <c r="C78" s="1">
        <f t="shared" ref="C78:C141" si="3">(B78/B77)-1</f>
        <v>0.11258308059135103</v>
      </c>
      <c r="D78" s="28">
        <v>344.72</v>
      </c>
      <c r="E78" s="1">
        <f t="shared" si="1"/>
        <v>0.11336476971771847</v>
      </c>
      <c r="F78" s="1">
        <f t="shared" si="2"/>
        <v>-7.8168912636744636E-4</v>
      </c>
      <c r="G78" s="1">
        <v>2.3E-2</v>
      </c>
    </row>
    <row r="79" spans="1:15">
      <c r="A79" s="16">
        <v>40452</v>
      </c>
      <c r="B79" s="17">
        <v>35.393486000000003</v>
      </c>
      <c r="C79" s="1">
        <f t="shared" si="3"/>
        <v>4.8850583057850949E-2</v>
      </c>
      <c r="D79" s="28">
        <v>359.89</v>
      </c>
      <c r="E79" s="1">
        <f t="shared" si="1"/>
        <v>4.4006730099791058E-2</v>
      </c>
      <c r="F79" s="1">
        <f t="shared" si="2"/>
        <v>4.843852958059891E-3</v>
      </c>
      <c r="G79" s="1"/>
    </row>
    <row r="80" spans="1:15">
      <c r="A80" s="16">
        <v>40483</v>
      </c>
      <c r="B80" s="17">
        <v>32.629874999999998</v>
      </c>
      <c r="C80" s="1">
        <f t="shared" si="3"/>
        <v>-7.8082475402394769E-2</v>
      </c>
      <c r="D80" s="29">
        <v>331.93</v>
      </c>
      <c r="E80" s="1">
        <f t="shared" si="1"/>
        <v>-7.7690405401650398E-2</v>
      </c>
      <c r="F80" s="1">
        <f t="shared" si="2"/>
        <v>-3.9207000074437115E-4</v>
      </c>
      <c r="G80" s="1"/>
    </row>
    <row r="81" spans="1:7">
      <c r="A81" s="16">
        <v>40513</v>
      </c>
      <c r="B81" s="17">
        <v>34.001300999999998</v>
      </c>
      <c r="C81" s="1">
        <f t="shared" si="3"/>
        <v>4.202976566719907E-2</v>
      </c>
      <c r="D81" s="28">
        <v>361.55</v>
      </c>
      <c r="E81" s="1">
        <f t="shared" si="1"/>
        <v>8.9235682222155388E-2</v>
      </c>
      <c r="F81" s="1">
        <f t="shared" si="2"/>
        <v>-4.7205916554956318E-2</v>
      </c>
      <c r="G81" s="1">
        <v>2.4E-2</v>
      </c>
    </row>
    <row r="82" spans="1:7">
      <c r="A82" s="16">
        <v>40544</v>
      </c>
      <c r="B82" s="17">
        <v>36.924182999999999</v>
      </c>
      <c r="C82" s="1">
        <f t="shared" si="3"/>
        <v>8.5963828266453657E-2</v>
      </c>
      <c r="D82" s="28">
        <v>375.06</v>
      </c>
      <c r="E82" s="1">
        <f t="shared" si="1"/>
        <v>3.7366892545982466E-2</v>
      </c>
      <c r="F82" s="1">
        <f t="shared" si="2"/>
        <v>4.859693572047119E-2</v>
      </c>
      <c r="G82" s="1"/>
    </row>
    <row r="83" spans="1:7">
      <c r="A83" s="16">
        <v>40575</v>
      </c>
      <c r="B83" s="17">
        <v>38.07761</v>
      </c>
      <c r="C83" s="1">
        <f t="shared" si="3"/>
        <v>3.1237712151952035E-2</v>
      </c>
      <c r="D83" s="28">
        <v>386.26</v>
      </c>
      <c r="E83" s="1">
        <f t="shared" si="1"/>
        <v>2.9861888764464384E-2</v>
      </c>
      <c r="F83" s="1">
        <f t="shared" si="2"/>
        <v>1.3758233874876513E-3</v>
      </c>
      <c r="G83" s="1"/>
    </row>
    <row r="84" spans="1:7">
      <c r="A84" s="16">
        <v>40603</v>
      </c>
      <c r="B84" s="17">
        <v>37.685890000000001</v>
      </c>
      <c r="C84" s="1">
        <f t="shared" si="3"/>
        <v>-1.028741037055636E-2</v>
      </c>
      <c r="D84" s="29">
        <v>383.23</v>
      </c>
      <c r="E84" s="1">
        <f t="shared" si="1"/>
        <v>-7.8444571014342213E-3</v>
      </c>
      <c r="F84" s="1">
        <f t="shared" si="2"/>
        <v>-2.4429532691221389E-3</v>
      </c>
      <c r="G84" s="1">
        <v>2.8999999999999998E-2</v>
      </c>
    </row>
    <row r="85" spans="1:7">
      <c r="A85" s="16">
        <v>40634</v>
      </c>
      <c r="B85" s="17">
        <v>40.819721000000001</v>
      </c>
      <c r="C85" s="1">
        <f t="shared" si="3"/>
        <v>8.3156613788343714E-2</v>
      </c>
      <c r="D85" s="28">
        <v>411.67</v>
      </c>
      <c r="E85" s="1">
        <f t="shared" si="1"/>
        <v>7.4211309135506109E-2</v>
      </c>
      <c r="F85" s="1">
        <f t="shared" si="2"/>
        <v>8.9453046528376046E-3</v>
      </c>
      <c r="G85" s="1"/>
    </row>
    <row r="86" spans="1:7">
      <c r="A86" s="16">
        <v>40664</v>
      </c>
      <c r="B86" s="17">
        <v>39.659041999999999</v>
      </c>
      <c r="C86" s="1">
        <f t="shared" si="3"/>
        <v>-2.8434270778087911E-2</v>
      </c>
      <c r="D86" s="29">
        <v>394.69</v>
      </c>
      <c r="E86" s="1">
        <f t="shared" ref="E86:E149" si="4">D86/D85-1</f>
        <v>-4.1246629581946692E-2</v>
      </c>
      <c r="F86" s="1">
        <f t="shared" ref="F86:F149" si="5">C86-E86</f>
        <v>1.2812358803858781E-2</v>
      </c>
      <c r="G86" s="1"/>
    </row>
    <row r="87" spans="1:7">
      <c r="A87" s="16">
        <v>40695</v>
      </c>
      <c r="B87" s="17">
        <v>38.832047000000003</v>
      </c>
      <c r="C87" s="1">
        <f t="shared" si="3"/>
        <v>-2.0852621704780416E-2</v>
      </c>
      <c r="D87" s="29">
        <v>386.09</v>
      </c>
      <c r="E87" s="1">
        <f t="shared" si="4"/>
        <v>-2.1789252324609265E-2</v>
      </c>
      <c r="F87" s="1">
        <f t="shared" si="5"/>
        <v>9.3663061982884876E-4</v>
      </c>
      <c r="G87" s="1">
        <v>1.9E-2</v>
      </c>
    </row>
    <row r="88" spans="1:7">
      <c r="A88" s="16">
        <v>40725</v>
      </c>
      <c r="B88" s="17">
        <v>37.047497</v>
      </c>
      <c r="C88" s="1">
        <f t="shared" si="3"/>
        <v>-4.5955599507798373E-2</v>
      </c>
      <c r="D88" s="29">
        <v>371.73</v>
      </c>
      <c r="E88" s="1">
        <f t="shared" si="4"/>
        <v>-3.7193400502473439E-2</v>
      </c>
      <c r="F88" s="1">
        <f t="shared" si="5"/>
        <v>-8.7621990053249332E-3</v>
      </c>
      <c r="G88" s="1"/>
    </row>
    <row r="89" spans="1:7">
      <c r="A89" s="16">
        <v>40756</v>
      </c>
      <c r="B89" s="17">
        <v>33.608994000000003</v>
      </c>
      <c r="C89" s="1">
        <f t="shared" si="3"/>
        <v>-9.2813368741213376E-2</v>
      </c>
      <c r="D89" s="29">
        <v>333.32</v>
      </c>
      <c r="E89" s="1">
        <f t="shared" si="4"/>
        <v>-0.10332768407177262</v>
      </c>
      <c r="F89" s="1">
        <f t="shared" si="5"/>
        <v>1.0514315330559243E-2</v>
      </c>
      <c r="G89" s="1"/>
    </row>
    <row r="90" spans="1:7">
      <c r="A90" s="16">
        <v>40787</v>
      </c>
      <c r="B90" s="17">
        <v>29.495823000000001</v>
      </c>
      <c r="C90" s="1">
        <f t="shared" si="3"/>
        <v>-0.12238304425297586</v>
      </c>
      <c r="D90" s="29">
        <v>294.67</v>
      </c>
      <c r="E90" s="1">
        <f t="shared" si="4"/>
        <v>-0.11595463818552731</v>
      </c>
      <c r="F90" s="1">
        <f t="shared" si="5"/>
        <v>-6.4284060674485444E-3</v>
      </c>
      <c r="G90" s="1">
        <v>1.6E-2</v>
      </c>
    </row>
    <row r="91" spans="1:7">
      <c r="A91" s="16">
        <v>40817</v>
      </c>
      <c r="B91" s="17">
        <v>33.159222</v>
      </c>
      <c r="C91" s="1">
        <f t="shared" si="3"/>
        <v>0.12420060291248691</v>
      </c>
      <c r="D91" s="28">
        <v>330.02</v>
      </c>
      <c r="E91" s="1">
        <f t="shared" si="4"/>
        <v>0.11996470628160294</v>
      </c>
      <c r="F91" s="1">
        <f t="shared" si="5"/>
        <v>4.2358966308839729E-3</v>
      </c>
      <c r="G91" s="1"/>
    </row>
    <row r="92" spans="1:7">
      <c r="A92" s="16">
        <v>40848</v>
      </c>
      <c r="B92" s="17">
        <v>32.208916000000002</v>
      </c>
      <c r="C92" s="1">
        <f t="shared" si="3"/>
        <v>-2.865887504839526E-2</v>
      </c>
      <c r="D92" s="29">
        <v>313.33</v>
      </c>
      <c r="E92" s="1">
        <f t="shared" si="4"/>
        <v>-5.057269256408703E-2</v>
      </c>
      <c r="F92" s="1">
        <f t="shared" si="5"/>
        <v>2.1913817515691769E-2</v>
      </c>
      <c r="G92" s="1"/>
    </row>
    <row r="93" spans="1:7">
      <c r="A93" s="16">
        <v>40878</v>
      </c>
      <c r="B93" s="17">
        <v>30.054403000000001</v>
      </c>
      <c r="C93" s="1">
        <f t="shared" si="3"/>
        <v>-6.6891819643976835E-2</v>
      </c>
      <c r="D93" s="29">
        <v>307.37</v>
      </c>
      <c r="E93" s="1">
        <f t="shared" si="4"/>
        <v>-1.9021478951903648E-2</v>
      </c>
      <c r="F93" s="1">
        <f t="shared" si="5"/>
        <v>-4.7870340692073188E-2</v>
      </c>
      <c r="G93" s="1">
        <v>6.0000000000000001E-3</v>
      </c>
    </row>
    <row r="94" spans="1:7">
      <c r="A94" s="16">
        <v>40909</v>
      </c>
      <c r="B94" s="17">
        <v>33.171596999999998</v>
      </c>
      <c r="C94" s="1">
        <f t="shared" si="3"/>
        <v>0.10371838029855396</v>
      </c>
      <c r="D94" s="28">
        <v>323.29000000000002</v>
      </c>
      <c r="E94" s="1">
        <f t="shared" si="4"/>
        <v>5.1794254481569491E-2</v>
      </c>
      <c r="F94" s="1">
        <f t="shared" si="5"/>
        <v>5.1924125816984468E-2</v>
      </c>
      <c r="G94" s="1"/>
    </row>
    <row r="95" spans="1:7">
      <c r="A95" s="16">
        <v>40940</v>
      </c>
      <c r="B95" s="17">
        <v>34.971015999999999</v>
      </c>
      <c r="C95" s="1">
        <f t="shared" si="3"/>
        <v>5.4245775384284434E-2</v>
      </c>
      <c r="D95" s="28">
        <v>343.55</v>
      </c>
      <c r="E95" s="1">
        <f t="shared" si="4"/>
        <v>6.2668192644375065E-2</v>
      </c>
      <c r="F95" s="1">
        <f t="shared" si="5"/>
        <v>-8.4224172600906311E-3</v>
      </c>
      <c r="G95" s="1"/>
    </row>
    <row r="96" spans="1:7">
      <c r="A96" s="16">
        <v>40969</v>
      </c>
      <c r="B96" s="17">
        <v>34.993792999999997</v>
      </c>
      <c r="C96" s="1">
        <f t="shared" si="3"/>
        <v>6.5131078833968736E-4</v>
      </c>
      <c r="D96" s="29">
        <v>340.38</v>
      </c>
      <c r="E96" s="1">
        <f t="shared" si="4"/>
        <v>-9.227186726822878E-3</v>
      </c>
      <c r="F96" s="1">
        <f t="shared" si="5"/>
        <v>9.8784975151625654E-3</v>
      </c>
      <c r="G96" s="1">
        <v>-5.0000000000000001E-3</v>
      </c>
    </row>
    <row r="97" spans="1:7">
      <c r="A97" s="16">
        <v>41000</v>
      </c>
      <c r="B97" s="17">
        <v>34.120669999999997</v>
      </c>
      <c r="C97" s="1">
        <f t="shared" si="3"/>
        <v>-2.4950796274070708E-2</v>
      </c>
      <c r="D97" s="29">
        <v>330.68</v>
      </c>
      <c r="E97" s="1">
        <f t="shared" si="4"/>
        <v>-2.8497561548857075E-2</v>
      </c>
      <c r="F97" s="1">
        <f t="shared" si="5"/>
        <v>3.5467652747863676E-3</v>
      </c>
      <c r="G97" s="1"/>
    </row>
    <row r="98" spans="1:7">
      <c r="A98" s="16">
        <v>41030</v>
      </c>
      <c r="B98" s="17">
        <v>30.035898</v>
      </c>
      <c r="C98" s="1">
        <f t="shared" si="3"/>
        <v>-0.11971546865873373</v>
      </c>
      <c r="D98" s="29">
        <v>287.16000000000003</v>
      </c>
      <c r="E98" s="1">
        <f t="shared" si="4"/>
        <v>-0.13160759646788434</v>
      </c>
      <c r="F98" s="1">
        <f t="shared" si="5"/>
        <v>1.189212780915061E-2</v>
      </c>
      <c r="G98" s="1"/>
    </row>
    <row r="99" spans="1:7">
      <c r="A99" s="16">
        <v>41061</v>
      </c>
      <c r="B99" s="17">
        <v>32.518661000000002</v>
      </c>
      <c r="C99" s="1">
        <f t="shared" si="3"/>
        <v>8.2659855883117084E-2</v>
      </c>
      <c r="D99" s="28">
        <v>308.41000000000003</v>
      </c>
      <c r="E99" s="1">
        <f t="shared" si="4"/>
        <v>7.4000557180665893E-2</v>
      </c>
      <c r="F99" s="1">
        <f t="shared" si="5"/>
        <v>8.6592987024511903E-3</v>
      </c>
      <c r="G99" s="1">
        <v>-8.0000000000000002E-3</v>
      </c>
    </row>
    <row r="100" spans="1:7">
      <c r="A100" s="16">
        <v>41091</v>
      </c>
      <c r="B100" s="17">
        <v>32.624938999999998</v>
      </c>
      <c r="C100" s="1">
        <f t="shared" si="3"/>
        <v>3.2682157484895669E-3</v>
      </c>
      <c r="D100" s="28">
        <v>311.37</v>
      </c>
      <c r="E100" s="1">
        <f t="shared" si="4"/>
        <v>9.5976135663564666E-3</v>
      </c>
      <c r="F100" s="1">
        <f t="shared" si="5"/>
        <v>-6.3293978178668997E-3</v>
      </c>
      <c r="G100" s="1"/>
    </row>
    <row r="101" spans="1:7">
      <c r="A101" s="16">
        <v>41122</v>
      </c>
      <c r="B101" s="17">
        <v>34.151031000000003</v>
      </c>
      <c r="C101" s="1">
        <f t="shared" si="3"/>
        <v>4.6776853743696112E-2</v>
      </c>
      <c r="D101" s="28">
        <v>324.66000000000003</v>
      </c>
      <c r="E101" s="1">
        <f t="shared" si="4"/>
        <v>4.2682339339050079E-2</v>
      </c>
      <c r="F101" s="1">
        <f t="shared" si="5"/>
        <v>4.0945144046460324E-3</v>
      </c>
      <c r="G101" s="1"/>
    </row>
    <row r="102" spans="1:7">
      <c r="A102" s="16">
        <v>41153</v>
      </c>
      <c r="B102" s="17">
        <v>34.363616999999998</v>
      </c>
      <c r="C102" s="1">
        <f t="shared" si="3"/>
        <v>6.2248779546361099E-3</v>
      </c>
      <c r="D102" s="28">
        <v>334.34</v>
      </c>
      <c r="E102" s="1">
        <f t="shared" si="4"/>
        <v>2.981580730610478E-2</v>
      </c>
      <c r="F102" s="1">
        <f t="shared" si="5"/>
        <v>-2.359092935146867E-2</v>
      </c>
      <c r="G102" s="1">
        <v>-0.01</v>
      </c>
    </row>
    <row r="103" spans="1:7">
      <c r="A103" s="16">
        <v>41183</v>
      </c>
      <c r="B103" s="17">
        <v>35.774287999999999</v>
      </c>
      <c r="C103" s="1">
        <f t="shared" si="3"/>
        <v>4.1051295618851791E-2</v>
      </c>
      <c r="D103" s="28">
        <v>339.16</v>
      </c>
      <c r="E103" s="1">
        <f t="shared" si="4"/>
        <v>1.4416462283902698E-2</v>
      </c>
      <c r="F103" s="1">
        <f t="shared" si="5"/>
        <v>2.6634833334949093E-2</v>
      </c>
      <c r="G103" s="1"/>
    </row>
    <row r="104" spans="1:7">
      <c r="A104" s="16">
        <v>41214</v>
      </c>
      <c r="B104" s="17">
        <v>36.659709999999997</v>
      </c>
      <c r="C104" s="1">
        <f t="shared" si="3"/>
        <v>2.4750234022826723E-2</v>
      </c>
      <c r="D104" s="28">
        <v>347.04</v>
      </c>
      <c r="E104" s="1">
        <f t="shared" si="4"/>
        <v>2.3233871918858284E-2</v>
      </c>
      <c r="F104" s="1">
        <f t="shared" si="5"/>
        <v>1.5163621039684383E-3</v>
      </c>
      <c r="G104" s="1"/>
    </row>
    <row r="105" spans="1:7">
      <c r="A105" s="16">
        <v>41244</v>
      </c>
      <c r="B105" s="17">
        <v>37.933495000000001</v>
      </c>
      <c r="C105" s="1">
        <f t="shared" si="3"/>
        <v>3.4746183207668757E-2</v>
      </c>
      <c r="D105" s="28">
        <v>357.41</v>
      </c>
      <c r="E105" s="1">
        <f t="shared" si="4"/>
        <v>2.988128169663451E-2</v>
      </c>
      <c r="F105" s="1">
        <f t="shared" si="5"/>
        <v>4.8649015110342475E-3</v>
      </c>
      <c r="G105" s="1">
        <v>-1.1000000000000001E-2</v>
      </c>
    </row>
    <row r="106" spans="1:7">
      <c r="A106" s="16">
        <v>41275</v>
      </c>
      <c r="B106" s="17">
        <v>39.874554000000003</v>
      </c>
      <c r="C106" s="1">
        <f t="shared" si="3"/>
        <v>5.1170054327975834E-2</v>
      </c>
      <c r="D106" s="28">
        <v>378.11</v>
      </c>
      <c r="E106" s="1">
        <f t="shared" si="4"/>
        <v>5.7916678324613224E-2</v>
      </c>
      <c r="F106" s="1">
        <f t="shared" si="5"/>
        <v>-6.7466239966373909E-3</v>
      </c>
      <c r="G106" s="1"/>
    </row>
    <row r="107" spans="1:7">
      <c r="A107" s="16">
        <v>41306</v>
      </c>
      <c r="B107" s="17">
        <v>38.520080999999998</v>
      </c>
      <c r="C107" s="1">
        <f t="shared" si="3"/>
        <v>-3.3968354856082073E-2</v>
      </c>
      <c r="D107" s="29">
        <v>367.88</v>
      </c>
      <c r="E107" s="1">
        <f t="shared" si="4"/>
        <v>-2.7055618735288722E-2</v>
      </c>
      <c r="F107" s="1">
        <f t="shared" si="5"/>
        <v>-6.9127361207933502E-3</v>
      </c>
      <c r="G107" s="1"/>
    </row>
    <row r="108" spans="1:7">
      <c r="A108" s="16">
        <v>41334</v>
      </c>
      <c r="B108" s="17">
        <v>38.465282000000002</v>
      </c>
      <c r="C108" s="1">
        <f t="shared" si="3"/>
        <v>-1.4226086388550163E-3</v>
      </c>
      <c r="D108" s="29">
        <v>365.97</v>
      </c>
      <c r="E108" s="1">
        <f t="shared" si="4"/>
        <v>-5.1919104055669907E-3</v>
      </c>
      <c r="F108" s="1">
        <f t="shared" si="5"/>
        <v>3.7693017667119744E-3</v>
      </c>
      <c r="G108" s="1">
        <v>-1.2E-2</v>
      </c>
    </row>
    <row r="109" spans="1:7">
      <c r="A109" s="16">
        <v>41365</v>
      </c>
      <c r="B109" s="17">
        <v>40.405411000000001</v>
      </c>
      <c r="C109" s="1">
        <f t="shared" si="3"/>
        <v>5.0438444725297904E-2</v>
      </c>
      <c r="D109" s="28">
        <v>379.41</v>
      </c>
      <c r="E109" s="1">
        <f t="shared" si="4"/>
        <v>3.6724321665710269E-2</v>
      </c>
      <c r="F109" s="1">
        <f t="shared" si="5"/>
        <v>1.3714123059587635E-2</v>
      </c>
      <c r="G109" s="1"/>
    </row>
    <row r="110" spans="1:7">
      <c r="A110" s="16">
        <v>41395</v>
      </c>
      <c r="B110" s="17">
        <v>40.413277000000001</v>
      </c>
      <c r="C110" s="1">
        <f t="shared" si="3"/>
        <v>1.9467689612162609E-4</v>
      </c>
      <c r="D110" s="29">
        <v>378.39</v>
      </c>
      <c r="E110" s="1">
        <f t="shared" si="4"/>
        <v>-2.6883845971377163E-3</v>
      </c>
      <c r="F110" s="1">
        <f t="shared" si="5"/>
        <v>2.8830614932593424E-3</v>
      </c>
      <c r="G110" s="1"/>
    </row>
    <row r="111" spans="1:7">
      <c r="A111" s="16">
        <v>41426</v>
      </c>
      <c r="B111" s="17">
        <v>37.864330000000002</v>
      </c>
      <c r="C111" s="1">
        <f t="shared" si="3"/>
        <v>-6.3072019623649833E-2</v>
      </c>
      <c r="D111" s="29">
        <v>359.7</v>
      </c>
      <c r="E111" s="1">
        <f t="shared" si="4"/>
        <v>-4.9393482914453335E-2</v>
      </c>
      <c r="F111" s="1">
        <f t="shared" si="5"/>
        <v>-1.3678536709196498E-2</v>
      </c>
      <c r="G111" s="1">
        <v>-4.0000000000000001E-3</v>
      </c>
    </row>
    <row r="112" spans="1:7">
      <c r="A112" s="16">
        <v>41456</v>
      </c>
      <c r="B112" s="17">
        <v>41.558261999999999</v>
      </c>
      <c r="C112" s="1">
        <f t="shared" si="3"/>
        <v>9.7557041151923096E-2</v>
      </c>
      <c r="D112" s="28">
        <v>386.26</v>
      </c>
      <c r="E112" s="1">
        <f t="shared" si="4"/>
        <v>7.3839310536558234E-2</v>
      </c>
      <c r="F112" s="1">
        <f t="shared" si="5"/>
        <v>2.3717730615364863E-2</v>
      </c>
      <c r="G112" s="1"/>
    </row>
    <row r="113" spans="1:7">
      <c r="A113" s="16">
        <v>41487</v>
      </c>
      <c r="B113" s="17">
        <v>40.948528000000003</v>
      </c>
      <c r="C113" s="1">
        <f t="shared" si="3"/>
        <v>-1.4671787766292965E-2</v>
      </c>
      <c r="D113" s="29">
        <v>381.06</v>
      </c>
      <c r="E113" s="1">
        <f t="shared" si="4"/>
        <v>-1.3462434629524123E-2</v>
      </c>
      <c r="F113" s="1">
        <f t="shared" si="5"/>
        <v>-1.2093531367688426E-3</v>
      </c>
      <c r="G113" s="1"/>
    </row>
    <row r="114" spans="1:7">
      <c r="A114" s="16">
        <v>41518</v>
      </c>
      <c r="B114" s="17">
        <v>43.724429999999998</v>
      </c>
      <c r="C114" s="1">
        <f t="shared" si="3"/>
        <v>6.7790031426770536E-2</v>
      </c>
      <c r="D114" s="28">
        <v>408.29</v>
      </c>
      <c r="E114" s="1">
        <f t="shared" si="4"/>
        <v>7.1458562955964977E-2</v>
      </c>
      <c r="F114" s="1">
        <f t="shared" si="5"/>
        <v>-3.6685315291944409E-3</v>
      </c>
      <c r="G114" s="1">
        <v>0</v>
      </c>
    </row>
    <row r="115" spans="1:7">
      <c r="A115" s="16">
        <v>41548</v>
      </c>
      <c r="B115" s="17">
        <v>45.722819999999999</v>
      </c>
      <c r="C115" s="1">
        <f t="shared" si="3"/>
        <v>4.5704197859183004E-2</v>
      </c>
      <c r="D115" s="28">
        <v>425.7</v>
      </c>
      <c r="E115" s="1">
        <f t="shared" si="4"/>
        <v>4.2641259888804406E-2</v>
      </c>
      <c r="F115" s="1">
        <f t="shared" si="5"/>
        <v>3.0629379703785986E-3</v>
      </c>
      <c r="G115" s="1"/>
    </row>
    <row r="116" spans="1:7">
      <c r="A116" s="16">
        <v>41579</v>
      </c>
      <c r="B116" s="17">
        <v>46.189883999999999</v>
      </c>
      <c r="C116" s="1">
        <f t="shared" si="3"/>
        <v>1.0215117965164833E-2</v>
      </c>
      <c r="D116" s="28">
        <v>430.55</v>
      </c>
      <c r="E116" s="1">
        <f t="shared" si="4"/>
        <v>1.1392999765092782E-2</v>
      </c>
      <c r="F116" s="1">
        <f t="shared" si="5"/>
        <v>-1.1778817999279489E-3</v>
      </c>
      <c r="G116" s="1"/>
    </row>
    <row r="117" spans="1:7">
      <c r="A117" s="16">
        <v>41609</v>
      </c>
      <c r="B117" s="17">
        <v>47.349460999999998</v>
      </c>
      <c r="C117" s="1">
        <f t="shared" si="3"/>
        <v>2.5104566185963906E-2</v>
      </c>
      <c r="D117" s="28">
        <v>440.29</v>
      </c>
      <c r="E117" s="1">
        <f t="shared" si="4"/>
        <v>2.2622227383579219E-2</v>
      </c>
      <c r="F117" s="1">
        <f t="shared" si="5"/>
        <v>2.4823388023846871E-3</v>
      </c>
      <c r="G117" s="1">
        <v>6.9999999999999993E-3</v>
      </c>
    </row>
    <row r="118" spans="1:7">
      <c r="A118" s="16">
        <v>41640</v>
      </c>
      <c r="B118" s="17">
        <v>45.372577999999997</v>
      </c>
      <c r="C118" s="1">
        <f t="shared" si="3"/>
        <v>-4.1750908209916116E-2</v>
      </c>
      <c r="D118" s="29">
        <v>424.02</v>
      </c>
      <c r="E118" s="1">
        <f t="shared" si="4"/>
        <v>-3.6952917395353113E-2</v>
      </c>
      <c r="F118" s="1">
        <f t="shared" si="5"/>
        <v>-4.7979908145630024E-3</v>
      </c>
      <c r="G118" s="1"/>
    </row>
    <row r="119" spans="1:7">
      <c r="A119" s="16">
        <v>41671</v>
      </c>
      <c r="B119" s="17">
        <v>48.704174000000002</v>
      </c>
      <c r="C119" s="1">
        <f t="shared" si="3"/>
        <v>7.3427522676802859E-2</v>
      </c>
      <c r="D119" s="28">
        <v>455.16</v>
      </c>
      <c r="E119" s="1">
        <f t="shared" si="4"/>
        <v>7.3439932078675607E-2</v>
      </c>
      <c r="F119" s="1">
        <f t="shared" si="5"/>
        <v>-1.2409401872748305E-5</v>
      </c>
      <c r="G119" s="1"/>
    </row>
    <row r="120" spans="1:7">
      <c r="A120" s="16">
        <v>41699</v>
      </c>
      <c r="B120" s="17">
        <v>47.669108999999999</v>
      </c>
      <c r="C120" s="1">
        <f t="shared" si="3"/>
        <v>-2.125207995520062E-2</v>
      </c>
      <c r="D120" s="29">
        <v>449.07</v>
      </c>
      <c r="E120" s="1">
        <f t="shared" si="4"/>
        <v>-1.3379910361191794E-2</v>
      </c>
      <c r="F120" s="1">
        <f t="shared" si="5"/>
        <v>-7.8721695940088265E-3</v>
      </c>
      <c r="G120" s="1">
        <v>1.6E-2</v>
      </c>
    </row>
    <row r="121" spans="1:7">
      <c r="A121" s="16">
        <v>41730</v>
      </c>
      <c r="B121" s="17">
        <v>49.678615999999998</v>
      </c>
      <c r="C121" s="1">
        <f t="shared" si="3"/>
        <v>4.2155329565736199E-2</v>
      </c>
      <c r="D121" s="28">
        <v>456.33</v>
      </c>
      <c r="E121" s="1">
        <f t="shared" si="4"/>
        <v>1.6166744605518035E-2</v>
      </c>
      <c r="F121" s="1">
        <f t="shared" si="5"/>
        <v>2.5988584960218164E-2</v>
      </c>
      <c r="G121" s="1"/>
    </row>
    <row r="122" spans="1:7">
      <c r="A122" s="16">
        <v>41760</v>
      </c>
      <c r="B122" s="17">
        <v>50.064480000000003</v>
      </c>
      <c r="C122" s="1">
        <f t="shared" si="3"/>
        <v>7.7672051089348049E-3</v>
      </c>
      <c r="D122" s="28">
        <v>457.26</v>
      </c>
      <c r="E122" s="1">
        <f t="shared" si="4"/>
        <v>2.0379988166459029E-3</v>
      </c>
      <c r="F122" s="1">
        <f t="shared" si="5"/>
        <v>5.729206292288902E-3</v>
      </c>
      <c r="G122" s="1"/>
    </row>
    <row r="123" spans="1:7">
      <c r="A123" s="16">
        <v>41791</v>
      </c>
      <c r="B123" s="17">
        <v>49.218857</v>
      </c>
      <c r="C123" s="1">
        <f t="shared" si="3"/>
        <v>-1.6890677781932539E-2</v>
      </c>
      <c r="D123" s="29">
        <v>455.97</v>
      </c>
      <c r="E123" s="1">
        <f t="shared" si="4"/>
        <v>-2.8211520797795098E-3</v>
      </c>
      <c r="F123" s="1">
        <f t="shared" si="5"/>
        <v>-1.406952570215303E-2</v>
      </c>
      <c r="G123" s="1">
        <v>1.2E-2</v>
      </c>
    </row>
    <row r="124" spans="1:7">
      <c r="A124" s="16">
        <v>41821</v>
      </c>
      <c r="B124" s="17">
        <v>47.859099999999998</v>
      </c>
      <c r="C124" s="1">
        <f t="shared" si="3"/>
        <v>-2.762674882921401E-2</v>
      </c>
      <c r="D124" s="29">
        <v>437.89</v>
      </c>
      <c r="E124" s="1">
        <f t="shared" si="4"/>
        <v>-3.9651731473561935E-2</v>
      </c>
      <c r="F124" s="1">
        <f t="shared" si="5"/>
        <v>1.2024982644347926E-2</v>
      </c>
      <c r="G124" s="1"/>
    </row>
    <row r="125" spans="1:7">
      <c r="A125" s="16">
        <v>41852</v>
      </c>
      <c r="B125" s="17">
        <v>48.209522</v>
      </c>
      <c r="C125" s="1">
        <f t="shared" si="3"/>
        <v>7.321951311245023E-3</v>
      </c>
      <c r="D125" s="28">
        <v>438.41</v>
      </c>
      <c r="E125" s="1">
        <f t="shared" si="4"/>
        <v>1.1875128456919626E-3</v>
      </c>
      <c r="F125" s="1">
        <f t="shared" si="5"/>
        <v>6.1344384655530604E-3</v>
      </c>
      <c r="G125" s="1"/>
    </row>
    <row r="126" spans="1:7">
      <c r="A126" s="16">
        <v>41883</v>
      </c>
      <c r="B126" s="17">
        <v>46.073551000000002</v>
      </c>
      <c r="C126" s="1">
        <f t="shared" si="3"/>
        <v>-4.4305998304650207E-2</v>
      </c>
      <c r="D126" s="29">
        <v>420.67</v>
      </c>
      <c r="E126" s="1">
        <f t="shared" si="4"/>
        <v>-4.0464405465203801E-2</v>
      </c>
      <c r="F126" s="1">
        <f t="shared" si="5"/>
        <v>-3.8415928394464061E-3</v>
      </c>
      <c r="G126" s="1">
        <v>1.3999999999999999E-2</v>
      </c>
    </row>
    <row r="127" spans="1:7">
      <c r="A127" s="16">
        <v>41913</v>
      </c>
      <c r="B127" s="17">
        <v>45.412956000000001</v>
      </c>
      <c r="C127" s="1">
        <f t="shared" si="3"/>
        <v>-1.4337835605508276E-2</v>
      </c>
      <c r="D127" s="29">
        <v>409.54</v>
      </c>
      <c r="E127" s="1">
        <f t="shared" si="4"/>
        <v>-2.6457793519861217E-2</v>
      </c>
      <c r="F127" s="1">
        <f t="shared" si="5"/>
        <v>1.2119957914352941E-2</v>
      </c>
      <c r="G127" s="1"/>
    </row>
    <row r="128" spans="1:7">
      <c r="A128" s="16">
        <v>41944</v>
      </c>
      <c r="B128" s="17">
        <v>46.351906</v>
      </c>
      <c r="C128" s="1">
        <f t="shared" si="3"/>
        <v>2.0675817711580002E-2</v>
      </c>
      <c r="D128" s="28">
        <v>419.47</v>
      </c>
      <c r="E128" s="1">
        <f t="shared" si="4"/>
        <v>2.4246715827513921E-2</v>
      </c>
      <c r="F128" s="1">
        <f t="shared" si="5"/>
        <v>-3.5708981159339181E-3</v>
      </c>
      <c r="G128" s="1"/>
    </row>
    <row r="129" spans="1:7">
      <c r="A129" s="16">
        <v>41974</v>
      </c>
      <c r="B129" s="17">
        <v>43.937472999999997</v>
      </c>
      <c r="C129" s="1">
        <f t="shared" si="3"/>
        <v>-5.208918485466385E-2</v>
      </c>
      <c r="D129" s="29">
        <v>402.57</v>
      </c>
      <c r="E129" s="1">
        <f t="shared" si="4"/>
        <v>-4.0288936038334167E-2</v>
      </c>
      <c r="F129" s="1">
        <f t="shared" si="5"/>
        <v>-1.1800248816329684E-2</v>
      </c>
      <c r="G129" s="1">
        <v>1.6E-2</v>
      </c>
    </row>
    <row r="130" spans="1:7">
      <c r="A130" s="16">
        <v>42005</v>
      </c>
      <c r="B130" s="17">
        <v>44.405636000000001</v>
      </c>
      <c r="C130" s="1">
        <f t="shared" si="3"/>
        <v>1.0655209961665468E-2</v>
      </c>
      <c r="D130" s="29">
        <v>401.74</v>
      </c>
      <c r="E130" s="1">
        <f t="shared" si="4"/>
        <v>-2.0617532354620938E-3</v>
      </c>
      <c r="F130" s="1">
        <f t="shared" si="5"/>
        <v>1.2716963197127562E-2</v>
      </c>
      <c r="G130" s="1"/>
    </row>
    <row r="131" spans="1:7">
      <c r="A131" s="16">
        <v>42036</v>
      </c>
      <c r="B131" s="17">
        <v>47.111446000000001</v>
      </c>
      <c r="C131" s="1">
        <f t="shared" si="3"/>
        <v>6.0933931899995741E-2</v>
      </c>
      <c r="D131" s="28">
        <v>427.29</v>
      </c>
      <c r="E131" s="1">
        <f t="shared" si="4"/>
        <v>6.3598347189724791E-2</v>
      </c>
      <c r="F131" s="1">
        <f t="shared" si="5"/>
        <v>-2.6644152897290496E-3</v>
      </c>
      <c r="G131" s="1"/>
    </row>
    <row r="132" spans="1:7">
      <c r="A132" s="16">
        <v>42064</v>
      </c>
      <c r="B132" s="17">
        <v>45.703747</v>
      </c>
      <c r="C132" s="1">
        <f t="shared" si="3"/>
        <v>-2.9880190898831649E-2</v>
      </c>
      <c r="D132" s="29">
        <v>414.38</v>
      </c>
      <c r="E132" s="1">
        <f t="shared" si="4"/>
        <v>-3.0213672213250997E-2</v>
      </c>
      <c r="F132" s="1">
        <f t="shared" si="5"/>
        <v>3.3348131441934825E-4</v>
      </c>
      <c r="G132" s="1">
        <v>1.8000000000000002E-2</v>
      </c>
    </row>
    <row r="133" spans="1:7">
      <c r="A133" s="16">
        <v>42095</v>
      </c>
      <c r="B133" s="17">
        <v>47.912616999999997</v>
      </c>
      <c r="C133" s="1">
        <f t="shared" si="3"/>
        <v>4.8330173016229994E-2</v>
      </c>
      <c r="D133" s="28">
        <v>431</v>
      </c>
      <c r="E133" s="1">
        <f t="shared" si="4"/>
        <v>4.0108113325932671E-2</v>
      </c>
      <c r="F133" s="1">
        <f t="shared" si="5"/>
        <v>8.2220596902973231E-3</v>
      </c>
      <c r="G133" s="1"/>
    </row>
    <row r="134" spans="1:7">
      <c r="A134" s="16">
        <v>42125</v>
      </c>
      <c r="B134" s="17">
        <v>48.048251999999998</v>
      </c>
      <c r="C134" s="1">
        <f t="shared" si="3"/>
        <v>2.8308827296994465E-3</v>
      </c>
      <c r="D134" s="29">
        <v>426.11</v>
      </c>
      <c r="E134" s="1">
        <f t="shared" si="4"/>
        <v>-1.1345707656612469E-2</v>
      </c>
      <c r="F134" s="1">
        <f t="shared" si="5"/>
        <v>1.4176590386311916E-2</v>
      </c>
      <c r="G134" s="1"/>
    </row>
    <row r="135" spans="1:7">
      <c r="A135" s="16">
        <v>42156</v>
      </c>
      <c r="B135" s="17">
        <v>45.759430000000002</v>
      </c>
      <c r="C135" s="1">
        <f t="shared" si="3"/>
        <v>-4.763590567248932E-2</v>
      </c>
      <c r="D135" s="29">
        <v>413.08</v>
      </c>
      <c r="E135" s="1">
        <f t="shared" si="4"/>
        <v>-3.0578958484898333E-2</v>
      </c>
      <c r="F135" s="1">
        <f t="shared" si="5"/>
        <v>-1.7056947187590987E-2</v>
      </c>
      <c r="G135" s="1">
        <v>2.1000000000000001E-2</v>
      </c>
    </row>
    <row r="136" spans="1:7">
      <c r="A136" s="16">
        <v>42186</v>
      </c>
      <c r="B136" s="17">
        <v>47.715569000000002</v>
      </c>
      <c r="C136" s="1">
        <f t="shared" si="3"/>
        <v>4.2748325317863545E-2</v>
      </c>
      <c r="D136" s="28">
        <v>425.45</v>
      </c>
      <c r="E136" s="1">
        <f t="shared" si="4"/>
        <v>2.9945773215841909E-2</v>
      </c>
      <c r="F136" s="1">
        <f t="shared" si="5"/>
        <v>1.2802552102021636E-2</v>
      </c>
      <c r="G136" s="1"/>
    </row>
    <row r="137" spans="1:7">
      <c r="A137" s="16">
        <v>42217</v>
      </c>
      <c r="B137" s="17">
        <v>44.693531</v>
      </c>
      <c r="C137" s="1">
        <f t="shared" si="3"/>
        <v>-6.3334422355940112E-2</v>
      </c>
      <c r="D137" s="29">
        <v>395.52</v>
      </c>
      <c r="E137" s="1">
        <f t="shared" si="4"/>
        <v>-7.0349042190621658E-2</v>
      </c>
      <c r="F137" s="1">
        <f t="shared" si="5"/>
        <v>7.0146198346815458E-3</v>
      </c>
      <c r="G137" s="1"/>
    </row>
    <row r="138" spans="1:7">
      <c r="A138" s="16">
        <v>42248</v>
      </c>
      <c r="B138" s="17">
        <v>42.343048000000003</v>
      </c>
      <c r="C138" s="1">
        <f t="shared" si="3"/>
        <v>-5.259112331044058E-2</v>
      </c>
      <c r="D138" s="29">
        <v>377.47</v>
      </c>
      <c r="E138" s="1">
        <f t="shared" si="4"/>
        <v>-4.5636124595469174E-2</v>
      </c>
      <c r="F138" s="1">
        <f t="shared" si="5"/>
        <v>-6.9549987149714054E-3</v>
      </c>
      <c r="G138" s="1">
        <v>0.02</v>
      </c>
    </row>
    <row r="139" spans="1:7">
      <c r="A139" s="16">
        <v>42278</v>
      </c>
      <c r="B139" s="17">
        <v>45.046871000000003</v>
      </c>
      <c r="C139" s="1">
        <f t="shared" si="3"/>
        <v>6.3855181138589678E-2</v>
      </c>
      <c r="D139" s="28">
        <v>403.13</v>
      </c>
      <c r="E139" s="1">
        <f t="shared" si="4"/>
        <v>6.7978912231435595E-2</v>
      </c>
      <c r="F139" s="1">
        <f t="shared" si="5"/>
        <v>-4.123731092845917E-3</v>
      </c>
      <c r="G139" s="1"/>
    </row>
    <row r="140" spans="1:7">
      <c r="A140" s="16">
        <v>42309</v>
      </c>
      <c r="B140" s="17">
        <v>44.484653000000002</v>
      </c>
      <c r="C140" s="1">
        <f t="shared" si="3"/>
        <v>-1.2480733678483458E-2</v>
      </c>
      <c r="D140" s="29">
        <v>395.67</v>
      </c>
      <c r="E140" s="1">
        <f t="shared" si="4"/>
        <v>-1.8505196834767923E-2</v>
      </c>
      <c r="F140" s="1">
        <f t="shared" si="5"/>
        <v>6.0244631562844653E-3</v>
      </c>
      <c r="G140" s="1"/>
    </row>
    <row r="141" spans="1:7">
      <c r="A141" s="16">
        <v>42339</v>
      </c>
      <c r="B141" s="17">
        <v>43.143967000000004</v>
      </c>
      <c r="C141" s="1">
        <f t="shared" si="3"/>
        <v>-3.0138169224338984E-2</v>
      </c>
      <c r="D141" s="29">
        <v>386.71</v>
      </c>
      <c r="E141" s="1">
        <f t="shared" si="4"/>
        <v>-2.264513357090514E-2</v>
      </c>
      <c r="F141" s="1">
        <f t="shared" si="5"/>
        <v>-7.4930356534338438E-3</v>
      </c>
      <c r="G141" s="1">
        <v>0.02</v>
      </c>
    </row>
    <row r="142" spans="1:7">
      <c r="A142" s="16">
        <v>42370</v>
      </c>
      <c r="B142" s="17">
        <v>40.915585</v>
      </c>
      <c r="C142" s="1">
        <f t="shared" ref="C142:C194" si="6">(B142/B141)-1</f>
        <v>-5.1649909708117558E-2</v>
      </c>
      <c r="D142" s="29">
        <v>360.03</v>
      </c>
      <c r="E142" s="1">
        <f t="shared" si="4"/>
        <v>-6.8992268107884502E-2</v>
      </c>
      <c r="F142" s="1">
        <f t="shared" si="5"/>
        <v>1.7342358399766944E-2</v>
      </c>
      <c r="G142" s="1"/>
    </row>
    <row r="143" spans="1:7">
      <c r="A143" s="16">
        <v>42401</v>
      </c>
      <c r="B143" s="17">
        <v>39.595447999999998</v>
      </c>
      <c r="C143" s="1">
        <f t="shared" si="6"/>
        <v>-3.2264893682932838E-2</v>
      </c>
      <c r="D143" s="29">
        <v>353.36</v>
      </c>
      <c r="E143" s="1">
        <f t="shared" si="4"/>
        <v>-1.8526233924950564E-2</v>
      </c>
      <c r="F143" s="1">
        <f t="shared" si="5"/>
        <v>-1.3738659757982274E-2</v>
      </c>
      <c r="G143" s="1"/>
    </row>
    <row r="144" spans="1:7">
      <c r="A144" s="16">
        <v>42430</v>
      </c>
      <c r="B144" s="17">
        <v>42.140189999999997</v>
      </c>
      <c r="C144" s="1">
        <f t="shared" si="6"/>
        <v>6.4268549253439389E-2</v>
      </c>
      <c r="D144" s="28">
        <v>375.1</v>
      </c>
      <c r="E144" s="1">
        <f t="shared" si="4"/>
        <v>6.152365859180442E-2</v>
      </c>
      <c r="F144" s="1">
        <f t="shared" si="5"/>
        <v>2.7448906616349689E-3</v>
      </c>
      <c r="G144" s="1">
        <v>1.9E-2</v>
      </c>
    </row>
    <row r="145" spans="1:7">
      <c r="A145" s="16">
        <v>42461</v>
      </c>
      <c r="B145" s="17">
        <v>43.548222000000003</v>
      </c>
      <c r="C145" s="1">
        <f t="shared" si="6"/>
        <v>3.341304346278462E-2</v>
      </c>
      <c r="D145" s="28">
        <v>381.64</v>
      </c>
      <c r="E145" s="1">
        <f t="shared" si="4"/>
        <v>1.7435350573180353E-2</v>
      </c>
      <c r="F145" s="1">
        <f t="shared" si="5"/>
        <v>1.5977692889604267E-2</v>
      </c>
      <c r="G145" s="1"/>
    </row>
    <row r="146" spans="1:7">
      <c r="A146" s="16">
        <v>42491</v>
      </c>
      <c r="B146" s="17">
        <v>43.329867999999998</v>
      </c>
      <c r="C146" s="1">
        <f t="shared" si="6"/>
        <v>-5.0140738237258731E-3</v>
      </c>
      <c r="D146" s="29">
        <v>377.44</v>
      </c>
      <c r="E146" s="1">
        <f t="shared" si="4"/>
        <v>-1.1005135730007276E-2</v>
      </c>
      <c r="F146" s="1">
        <f t="shared" si="5"/>
        <v>5.991061906281403E-3</v>
      </c>
      <c r="G146" s="1"/>
    </row>
    <row r="147" spans="1:7">
      <c r="A147" s="16">
        <v>42522</v>
      </c>
      <c r="B147" s="17">
        <v>40.753304</v>
      </c>
      <c r="C147" s="1">
        <f t="shared" si="6"/>
        <v>-5.9463924515071209E-2</v>
      </c>
      <c r="D147" s="29">
        <v>357.82</v>
      </c>
      <c r="E147" s="1">
        <f t="shared" si="4"/>
        <v>-5.1981771937261612E-2</v>
      </c>
      <c r="F147" s="1">
        <f t="shared" si="5"/>
        <v>-7.4821525778095976E-3</v>
      </c>
      <c r="G147" s="1">
        <v>1.8000000000000002E-2</v>
      </c>
    </row>
    <row r="148" spans="1:7">
      <c r="A148" s="16">
        <v>42552</v>
      </c>
      <c r="B148" s="17">
        <v>43.007300999999998</v>
      </c>
      <c r="C148" s="1">
        <f t="shared" si="6"/>
        <v>5.5308325430497574E-2</v>
      </c>
      <c r="D148" s="28">
        <v>373.21</v>
      </c>
      <c r="E148" s="1">
        <f t="shared" si="4"/>
        <v>4.3010452182661529E-2</v>
      </c>
      <c r="F148" s="1">
        <f t="shared" si="5"/>
        <v>1.2297873247836044E-2</v>
      </c>
      <c r="G148" s="1"/>
    </row>
    <row r="149" spans="1:7">
      <c r="A149" s="16">
        <v>42583</v>
      </c>
      <c r="B149" s="17">
        <v>43.301270000000002</v>
      </c>
      <c r="C149" s="1">
        <f t="shared" si="6"/>
        <v>6.8353277970176762E-3</v>
      </c>
      <c r="D149" s="28">
        <v>373.69</v>
      </c>
      <c r="E149" s="1">
        <f t="shared" si="4"/>
        <v>1.2861391709761971E-3</v>
      </c>
      <c r="F149" s="1">
        <f t="shared" si="5"/>
        <v>5.5491886260414791E-3</v>
      </c>
      <c r="G149" s="1"/>
    </row>
    <row r="150" spans="1:7">
      <c r="A150" s="16">
        <v>42614</v>
      </c>
      <c r="B150" s="17">
        <v>43.408161</v>
      </c>
      <c r="C150" s="1">
        <f t="shared" si="6"/>
        <v>2.4685419157450816E-3</v>
      </c>
      <c r="D150" s="28">
        <v>376.85</v>
      </c>
      <c r="E150" s="1">
        <f t="shared" ref="E150:E194" si="7">D150/D149-1</f>
        <v>8.4562070165110637E-3</v>
      </c>
      <c r="F150" s="1">
        <f t="shared" ref="F150:F194" si="8">C150-E150</f>
        <v>-5.987665100765982E-3</v>
      </c>
      <c r="G150" s="1">
        <v>1.8000000000000002E-2</v>
      </c>
    </row>
    <row r="151" spans="1:7">
      <c r="A151" s="16">
        <v>42644</v>
      </c>
      <c r="B151" s="17">
        <v>42.102322000000001</v>
      </c>
      <c r="C151" s="1">
        <f t="shared" si="6"/>
        <v>-3.0082799407235905E-2</v>
      </c>
      <c r="D151" s="29">
        <v>363.24</v>
      </c>
      <c r="E151" s="1">
        <f t="shared" si="7"/>
        <v>-3.611516518508695E-2</v>
      </c>
      <c r="F151" s="1">
        <f t="shared" si="8"/>
        <v>6.0323657778510453E-3</v>
      </c>
      <c r="G151" s="1"/>
    </row>
    <row r="152" spans="1:7">
      <c r="A152" s="16">
        <v>42675</v>
      </c>
      <c r="B152" s="17">
        <v>41.117165</v>
      </c>
      <c r="C152" s="1">
        <f t="shared" si="6"/>
        <v>-2.3399113236557412E-2</v>
      </c>
      <c r="D152" s="29">
        <v>354.82</v>
      </c>
      <c r="E152" s="1">
        <f t="shared" si="7"/>
        <v>-2.3180266490474666E-2</v>
      </c>
      <c r="F152" s="1">
        <f t="shared" si="8"/>
        <v>-2.188467460827459E-4</v>
      </c>
      <c r="G152" s="1"/>
    </row>
    <row r="153" spans="1:7">
      <c r="A153" s="16">
        <v>42705</v>
      </c>
      <c r="B153" s="17">
        <v>42.935229999999997</v>
      </c>
      <c r="C153" s="1">
        <f t="shared" si="6"/>
        <v>4.4216691496118399E-2</v>
      </c>
      <c r="D153" s="28">
        <v>372.97</v>
      </c>
      <c r="E153" s="1">
        <f t="shared" si="7"/>
        <v>5.1152697142213155E-2</v>
      </c>
      <c r="F153" s="1">
        <f t="shared" si="8"/>
        <v>-6.9360056460947561E-3</v>
      </c>
      <c r="G153" s="1">
        <v>2.1000000000000001E-2</v>
      </c>
    </row>
    <row r="154" spans="1:7">
      <c r="A154" s="16">
        <v>42736</v>
      </c>
      <c r="B154" s="17">
        <v>44.418498999999997</v>
      </c>
      <c r="C154" s="1">
        <f t="shared" si="6"/>
        <v>3.4546664825133133E-2</v>
      </c>
      <c r="D154" s="28">
        <v>381.01</v>
      </c>
      <c r="E154" s="1">
        <f t="shared" si="7"/>
        <v>2.1556693567847285E-2</v>
      </c>
      <c r="F154" s="1">
        <f t="shared" si="8"/>
        <v>1.2989971257285848E-2</v>
      </c>
      <c r="G154" s="1"/>
    </row>
    <row r="155" spans="1:7">
      <c r="A155" s="16">
        <v>42767</v>
      </c>
      <c r="B155" s="17">
        <v>44.679470000000002</v>
      </c>
      <c r="C155" s="1">
        <f t="shared" si="6"/>
        <v>5.8752773253325508E-3</v>
      </c>
      <c r="D155" s="28">
        <v>384.71</v>
      </c>
      <c r="E155" s="1">
        <f t="shared" si="7"/>
        <v>9.7110312065300519E-3</v>
      </c>
      <c r="F155" s="1">
        <f t="shared" si="8"/>
        <v>-3.8357538811975012E-3</v>
      </c>
      <c r="G155" s="1"/>
    </row>
    <row r="156" spans="1:7">
      <c r="A156" s="16">
        <v>42795</v>
      </c>
      <c r="B156" s="17">
        <v>46.407260999999998</v>
      </c>
      <c r="C156" s="1">
        <f t="shared" si="6"/>
        <v>3.867080339135609E-2</v>
      </c>
      <c r="D156" s="28">
        <v>398.33</v>
      </c>
      <c r="E156" s="1">
        <f t="shared" si="7"/>
        <v>3.5403290790465558E-2</v>
      </c>
      <c r="F156" s="1">
        <f t="shared" si="8"/>
        <v>3.267512600890532E-3</v>
      </c>
      <c r="G156" s="1">
        <v>2.2000000000000002E-2</v>
      </c>
    </row>
    <row r="157" spans="1:7">
      <c r="A157" s="16">
        <v>42826</v>
      </c>
      <c r="B157" s="17">
        <v>48.477493000000003</v>
      </c>
      <c r="C157" s="1">
        <f t="shared" si="6"/>
        <v>4.4610088063590014E-2</v>
      </c>
      <c r="D157" s="28">
        <v>412.47</v>
      </c>
      <c r="E157" s="1">
        <f t="shared" si="7"/>
        <v>3.5498205005899841E-2</v>
      </c>
      <c r="F157" s="1">
        <f t="shared" si="8"/>
        <v>9.1118830576901733E-3</v>
      </c>
      <c r="G157" s="1"/>
    </row>
    <row r="158" spans="1:7">
      <c r="A158" s="16">
        <v>42856</v>
      </c>
      <c r="B158" s="17">
        <v>50.857036999999998</v>
      </c>
      <c r="C158" s="1">
        <f t="shared" si="6"/>
        <v>4.9085541614125816E-2</v>
      </c>
      <c r="D158" s="28">
        <v>429.18</v>
      </c>
      <c r="E158" s="1">
        <f t="shared" si="7"/>
        <v>4.051203723907193E-2</v>
      </c>
      <c r="F158" s="1">
        <f t="shared" si="8"/>
        <v>8.5735043750538864E-3</v>
      </c>
      <c r="G158" s="1"/>
    </row>
    <row r="159" spans="1:7">
      <c r="A159" s="16">
        <v>42887</v>
      </c>
      <c r="B159" s="17">
        <v>49.888927000000002</v>
      </c>
      <c r="C159" s="1">
        <f t="shared" si="6"/>
        <v>-1.9035910409015644E-2</v>
      </c>
      <c r="D159" s="29">
        <v>423.63</v>
      </c>
      <c r="E159" s="1">
        <f t="shared" si="7"/>
        <v>-1.2931637075353053E-2</v>
      </c>
      <c r="F159" s="1">
        <f t="shared" si="8"/>
        <v>-6.104273333662591E-3</v>
      </c>
      <c r="G159" s="1">
        <v>2.6000000000000002E-2</v>
      </c>
    </row>
    <row r="160" spans="1:7">
      <c r="A160" s="16">
        <v>42917</v>
      </c>
      <c r="B160" s="17">
        <v>52.027309000000002</v>
      </c>
      <c r="C160" s="1">
        <f t="shared" si="6"/>
        <v>4.2862858124809833E-2</v>
      </c>
      <c r="D160" s="28">
        <v>436.81</v>
      </c>
      <c r="E160" s="1">
        <f t="shared" si="7"/>
        <v>3.1112055331303345E-2</v>
      </c>
      <c r="F160" s="1">
        <f t="shared" si="8"/>
        <v>1.1750802793506487E-2</v>
      </c>
      <c r="G160" s="1"/>
    </row>
    <row r="161" spans="1:7">
      <c r="A161" s="16">
        <v>42948</v>
      </c>
      <c r="B161" s="17">
        <v>52.064011000000001</v>
      </c>
      <c r="C161" s="1">
        <f t="shared" si="6"/>
        <v>7.0543721567450923E-4</v>
      </c>
      <c r="D161" s="29">
        <v>435.77</v>
      </c>
      <c r="E161" s="1">
        <f t="shared" si="7"/>
        <v>-2.3808978732172692E-3</v>
      </c>
      <c r="F161" s="1">
        <f t="shared" si="8"/>
        <v>3.0863350888917784E-3</v>
      </c>
      <c r="G161" s="1"/>
    </row>
    <row r="162" spans="1:7">
      <c r="A162" s="16">
        <v>42979</v>
      </c>
      <c r="B162" s="17">
        <v>53.522984000000001</v>
      </c>
      <c r="C162" s="1">
        <f t="shared" si="6"/>
        <v>2.8022677699572451E-2</v>
      </c>
      <c r="D162" s="28">
        <v>450.26</v>
      </c>
      <c r="E162" s="1">
        <f t="shared" si="7"/>
        <v>3.3251485875576581E-2</v>
      </c>
      <c r="F162" s="1">
        <f t="shared" si="8"/>
        <v>-5.2288081760041294E-3</v>
      </c>
      <c r="G162" s="1">
        <v>2.8999999999999998E-2</v>
      </c>
    </row>
    <row r="163" spans="1:7">
      <c r="A163" s="16">
        <v>43009</v>
      </c>
      <c r="B163" s="17">
        <v>53.984146000000003</v>
      </c>
      <c r="C163" s="1">
        <f t="shared" si="6"/>
        <v>8.6161489053002693E-3</v>
      </c>
      <c r="D163" s="28">
        <v>451.87</v>
      </c>
      <c r="E163" s="1">
        <f t="shared" si="7"/>
        <v>3.575711810953619E-3</v>
      </c>
      <c r="F163" s="1">
        <f t="shared" si="8"/>
        <v>5.0404370943466503E-3</v>
      </c>
      <c r="G163" s="1"/>
    </row>
    <row r="164" spans="1:7">
      <c r="A164" s="16">
        <v>43040</v>
      </c>
      <c r="B164" s="17">
        <v>53.956519999999998</v>
      </c>
      <c r="C164" s="1">
        <f t="shared" si="6"/>
        <v>-5.1174283649879637E-4</v>
      </c>
      <c r="D164" s="28">
        <v>452.44</v>
      </c>
      <c r="E164" s="1">
        <f t="shared" si="7"/>
        <v>1.2614247460551731E-3</v>
      </c>
      <c r="F164" s="1">
        <f t="shared" si="8"/>
        <v>-1.7731675825539694E-3</v>
      </c>
      <c r="G164" s="1"/>
    </row>
    <row r="165" spans="1:7">
      <c r="A165" s="16">
        <v>43070</v>
      </c>
      <c r="B165" s="17">
        <v>54.490836999999999</v>
      </c>
      <c r="C165" s="1">
        <f t="shared" si="6"/>
        <v>9.9027327929970266E-3</v>
      </c>
      <c r="D165" s="28">
        <v>459.87</v>
      </c>
      <c r="E165" s="1">
        <f t="shared" si="7"/>
        <v>1.6422067014410846E-2</v>
      </c>
      <c r="F165" s="1">
        <f t="shared" si="8"/>
        <v>-6.5193342214138195E-3</v>
      </c>
      <c r="G165" s="1">
        <v>0.03</v>
      </c>
    </row>
    <row r="166" spans="1:7">
      <c r="A166" s="16">
        <v>43101</v>
      </c>
      <c r="B166" s="17">
        <v>57.866343999999998</v>
      </c>
      <c r="C166" s="1">
        <f t="shared" si="6"/>
        <v>6.1946323195586128E-2</v>
      </c>
      <c r="D166" s="28">
        <v>484.55</v>
      </c>
      <c r="E166" s="1">
        <f t="shared" si="7"/>
        <v>5.3667340770217731E-2</v>
      </c>
      <c r="F166" s="1">
        <f t="shared" si="8"/>
        <v>8.2789824253683975E-3</v>
      </c>
      <c r="G166" s="1"/>
    </row>
    <row r="167" spans="1:7">
      <c r="A167" s="16">
        <v>43132</v>
      </c>
      <c r="B167" s="17">
        <v>54.309894999999997</v>
      </c>
      <c r="C167" s="1">
        <f t="shared" si="6"/>
        <v>-6.1459714821451294E-2</v>
      </c>
      <c r="D167" s="29">
        <v>455.5</v>
      </c>
      <c r="E167" s="1">
        <f t="shared" si="7"/>
        <v>-5.9952533278299525E-2</v>
      </c>
      <c r="F167" s="1">
        <f t="shared" si="8"/>
        <v>-1.5071815431517699E-3</v>
      </c>
      <c r="G167" s="1"/>
    </row>
    <row r="168" spans="1:7">
      <c r="A168" s="16">
        <v>43160</v>
      </c>
      <c r="B168" s="17">
        <v>53.856079000000001</v>
      </c>
      <c r="C168" s="1">
        <f t="shared" si="6"/>
        <v>-8.3560463521425987E-3</v>
      </c>
      <c r="D168" s="29">
        <v>448.78</v>
      </c>
      <c r="E168" s="1">
        <f t="shared" si="7"/>
        <v>-1.4753018660812356E-2</v>
      </c>
      <c r="F168" s="1">
        <f t="shared" si="8"/>
        <v>6.3969723086697572E-3</v>
      </c>
      <c r="G168" s="1">
        <v>2.6000000000000002E-2</v>
      </c>
    </row>
    <row r="169" spans="1:7">
      <c r="A169" s="16">
        <v>43191</v>
      </c>
      <c r="B169" s="17">
        <v>55.282459000000003</v>
      </c>
      <c r="C169" s="1">
        <f t="shared" si="6"/>
        <v>2.6485032451025736E-2</v>
      </c>
      <c r="D169" s="28">
        <v>458.57</v>
      </c>
      <c r="E169" s="1">
        <f t="shared" si="7"/>
        <v>2.1814697624671364E-2</v>
      </c>
      <c r="F169" s="1">
        <f t="shared" si="8"/>
        <v>4.670334826354372E-3</v>
      </c>
      <c r="G169" s="1"/>
    </row>
    <row r="170" spans="1:7">
      <c r="A170" s="16">
        <v>43221</v>
      </c>
      <c r="B170" s="17">
        <v>53.942276</v>
      </c>
      <c r="C170" s="1">
        <f t="shared" si="6"/>
        <v>-2.4242463599529862E-2</v>
      </c>
      <c r="D170" s="29">
        <v>441.12</v>
      </c>
      <c r="E170" s="1">
        <f t="shared" si="7"/>
        <v>-3.8053078046972111E-2</v>
      </c>
      <c r="F170" s="1">
        <f t="shared" si="8"/>
        <v>1.3810614447442249E-2</v>
      </c>
      <c r="G170" s="1"/>
    </row>
    <row r="171" spans="1:7">
      <c r="A171" s="16">
        <v>43252</v>
      </c>
      <c r="B171" s="17">
        <v>52.239131999999998</v>
      </c>
      <c r="C171" s="1">
        <f t="shared" si="6"/>
        <v>-3.1573454557238256E-2</v>
      </c>
      <c r="D171" s="29">
        <v>437.22</v>
      </c>
      <c r="E171" s="1">
        <f t="shared" si="7"/>
        <v>-8.8411316648530081E-3</v>
      </c>
      <c r="F171" s="1">
        <f t="shared" si="8"/>
        <v>-2.2732322892385248E-2</v>
      </c>
      <c r="G171" s="1">
        <v>2.2000000000000002E-2</v>
      </c>
    </row>
    <row r="172" spans="1:7">
      <c r="A172" s="16">
        <v>43282</v>
      </c>
      <c r="B172" s="17">
        <v>55.087040000000002</v>
      </c>
      <c r="C172" s="1">
        <f t="shared" si="6"/>
        <v>5.4516755753139412E-2</v>
      </c>
      <c r="D172" s="28">
        <v>450.77</v>
      </c>
      <c r="E172" s="1">
        <f t="shared" si="7"/>
        <v>3.0991262979735534E-2</v>
      </c>
      <c r="F172" s="1">
        <f t="shared" si="8"/>
        <v>2.3525492773403878E-2</v>
      </c>
      <c r="G172" s="1"/>
    </row>
    <row r="173" spans="1:7">
      <c r="A173" s="16">
        <v>43313</v>
      </c>
      <c r="B173" s="17">
        <v>53.530479</v>
      </c>
      <c r="C173" s="1">
        <f t="shared" si="6"/>
        <v>-2.8256392066083102E-2</v>
      </c>
      <c r="D173" s="29">
        <v>437.79</v>
      </c>
      <c r="E173" s="1">
        <f t="shared" si="7"/>
        <v>-2.8795172704483396E-2</v>
      </c>
      <c r="F173" s="1">
        <f t="shared" si="8"/>
        <v>5.3878063840029355E-4</v>
      </c>
      <c r="G173" s="1"/>
    </row>
    <row r="174" spans="1:7">
      <c r="A174" s="16">
        <v>43344</v>
      </c>
      <c r="B174" s="17">
        <v>53.359634</v>
      </c>
      <c r="C174" s="1">
        <f t="shared" si="6"/>
        <v>-3.1915462590947907E-3</v>
      </c>
      <c r="D174" s="28">
        <v>437.87</v>
      </c>
      <c r="E174" s="1">
        <f t="shared" si="7"/>
        <v>1.8273601498441927E-4</v>
      </c>
      <c r="F174" s="1">
        <f t="shared" si="8"/>
        <v>-3.37428227407921E-3</v>
      </c>
      <c r="G174" s="1">
        <v>1.6E-2</v>
      </c>
    </row>
    <row r="175" spans="1:7">
      <c r="A175" s="16">
        <v>43374</v>
      </c>
      <c r="B175" s="17">
        <v>49.33625</v>
      </c>
      <c r="C175" s="1">
        <f t="shared" si="6"/>
        <v>-7.540126680778958E-2</v>
      </c>
      <c r="D175" s="29">
        <v>402.99</v>
      </c>
      <c r="E175" s="1">
        <f t="shared" si="7"/>
        <v>-7.9658346084454323E-2</v>
      </c>
      <c r="F175" s="1">
        <f t="shared" si="8"/>
        <v>4.2570792766647436E-3</v>
      </c>
      <c r="G175" s="1"/>
    </row>
    <row r="176" spans="1:7">
      <c r="A176" s="16">
        <v>43405</v>
      </c>
      <c r="B176" s="17">
        <v>49.002769000000001</v>
      </c>
      <c r="C176" s="1">
        <f t="shared" si="6"/>
        <v>-6.7593503762446439E-3</v>
      </c>
      <c r="D176" s="29">
        <v>397.43</v>
      </c>
      <c r="E176" s="1">
        <f t="shared" si="7"/>
        <v>-1.3796868408645357E-2</v>
      </c>
      <c r="F176" s="1">
        <f t="shared" si="8"/>
        <v>7.0375180324007136E-3</v>
      </c>
      <c r="G176" s="1"/>
    </row>
    <row r="177" spans="1:7">
      <c r="A177" s="16">
        <v>43435</v>
      </c>
      <c r="B177" s="17">
        <v>46.325386000000002</v>
      </c>
      <c r="C177" s="1">
        <f t="shared" si="6"/>
        <v>-5.4637381818158026E-2</v>
      </c>
      <c r="D177" s="29">
        <v>378.69</v>
      </c>
      <c r="E177" s="1">
        <f t="shared" si="7"/>
        <v>-4.7152957753566649E-2</v>
      </c>
      <c r="F177" s="1">
        <f t="shared" si="8"/>
        <v>-7.4844240645913773E-3</v>
      </c>
      <c r="G177" s="1">
        <v>1.2E-2</v>
      </c>
    </row>
    <row r="178" spans="1:7">
      <c r="A178" s="16">
        <v>43466</v>
      </c>
      <c r="B178" s="17">
        <v>49.745185999999997</v>
      </c>
      <c r="C178" s="1">
        <f t="shared" si="6"/>
        <v>7.3821295304479451E-2</v>
      </c>
      <c r="D178" s="28">
        <v>404.43</v>
      </c>
      <c r="E178" s="1">
        <f t="shared" si="7"/>
        <v>6.7971163748712593E-2</v>
      </c>
      <c r="F178" s="1">
        <f t="shared" si="8"/>
        <v>5.8501315557668576E-3</v>
      </c>
      <c r="G178" s="1"/>
    </row>
    <row r="179" spans="1:7">
      <c r="A179" s="16">
        <v>43497</v>
      </c>
      <c r="B179" s="17">
        <v>51.318001000000002</v>
      </c>
      <c r="C179" s="1">
        <f t="shared" si="6"/>
        <v>3.1617431282697561E-2</v>
      </c>
      <c r="D179" s="28">
        <v>416.56</v>
      </c>
      <c r="E179" s="1">
        <f t="shared" si="7"/>
        <v>2.999282941423731E-2</v>
      </c>
      <c r="F179" s="1">
        <f t="shared" si="8"/>
        <v>1.6246018684602515E-3</v>
      </c>
      <c r="G179" s="1"/>
    </row>
    <row r="180" spans="1:7">
      <c r="A180" s="16">
        <v>43525</v>
      </c>
      <c r="B180" s="17">
        <v>51.413913999999998</v>
      </c>
      <c r="C180" s="1">
        <f t="shared" si="6"/>
        <v>1.86899329925172E-3</v>
      </c>
      <c r="D180" s="28">
        <v>417.19</v>
      </c>
      <c r="E180" s="1">
        <f t="shared" si="7"/>
        <v>1.5123871711157921E-3</v>
      </c>
      <c r="F180" s="1">
        <f t="shared" si="8"/>
        <v>3.5660612813592785E-4</v>
      </c>
      <c r="G180" s="1">
        <v>1.4999999999999999E-2</v>
      </c>
    </row>
    <row r="181" spans="1:7">
      <c r="A181" s="16">
        <v>43556</v>
      </c>
      <c r="B181" s="17">
        <v>53.734535000000001</v>
      </c>
      <c r="C181" s="1">
        <f t="shared" si="6"/>
        <v>4.5136050136155736E-2</v>
      </c>
      <c r="D181" s="28">
        <v>430.04</v>
      </c>
      <c r="E181" s="1">
        <f t="shared" si="7"/>
        <v>3.0801313550181009E-2</v>
      </c>
      <c r="F181" s="1">
        <f t="shared" si="8"/>
        <v>1.4334736585974728E-2</v>
      </c>
      <c r="G181" s="1"/>
    </row>
    <row r="182" spans="1:7">
      <c r="A182" s="16">
        <v>43586</v>
      </c>
      <c r="B182" s="17">
        <v>50.686591999999997</v>
      </c>
      <c r="C182" s="1">
        <f t="shared" si="6"/>
        <v>-5.672223645370722E-2</v>
      </c>
      <c r="D182" s="29">
        <v>402.83</v>
      </c>
      <c r="E182" s="1">
        <f t="shared" si="7"/>
        <v>-6.3273183889870799E-2</v>
      </c>
      <c r="F182" s="1">
        <f t="shared" si="8"/>
        <v>6.5509474361635789E-3</v>
      </c>
      <c r="G182" s="1"/>
    </row>
    <row r="183" spans="1:7">
      <c r="A183" s="16">
        <v>43617</v>
      </c>
      <c r="B183" s="17">
        <v>52.953262000000002</v>
      </c>
      <c r="C183" s="1">
        <f t="shared" si="6"/>
        <v>4.4719321433171144E-2</v>
      </c>
      <c r="D183" s="28">
        <v>428.79</v>
      </c>
      <c r="E183" s="1">
        <f t="shared" si="7"/>
        <v>6.4444058287615125E-2</v>
      </c>
      <c r="F183" s="1">
        <f t="shared" si="8"/>
        <v>-1.9724736854443981E-2</v>
      </c>
      <c r="G183" s="1">
        <v>1.2E-2</v>
      </c>
    </row>
    <row r="184" spans="1:7">
      <c r="A184" s="16">
        <v>43647</v>
      </c>
      <c r="B184" s="17">
        <v>52.503231</v>
      </c>
      <c r="C184" s="1">
        <f t="shared" si="6"/>
        <v>-8.4986454658827482E-3</v>
      </c>
      <c r="D184" s="29">
        <v>419.87</v>
      </c>
      <c r="E184" s="1">
        <f t="shared" si="7"/>
        <v>-2.0802723944121859E-2</v>
      </c>
      <c r="F184" s="1">
        <f t="shared" si="8"/>
        <v>1.2304078478239111E-2</v>
      </c>
      <c r="G184" s="1"/>
    </row>
    <row r="185" spans="1:7">
      <c r="A185" s="16">
        <v>43678</v>
      </c>
      <c r="B185" s="17">
        <v>51.639136999999998</v>
      </c>
      <c r="C185" s="1">
        <f t="shared" si="6"/>
        <v>-1.6457920465885234E-2</v>
      </c>
      <c r="D185" s="29">
        <v>407.9</v>
      </c>
      <c r="E185" s="1">
        <f t="shared" si="7"/>
        <v>-2.8508824159859114E-2</v>
      </c>
      <c r="F185" s="1">
        <f t="shared" si="8"/>
        <v>1.205090369397388E-2</v>
      </c>
      <c r="G185" s="1"/>
    </row>
    <row r="186" spans="1:7">
      <c r="A186" s="16">
        <v>43709</v>
      </c>
      <c r="B186" s="17">
        <v>52.640697000000003</v>
      </c>
      <c r="C186" s="1">
        <f t="shared" si="6"/>
        <v>1.9395366735118102E-2</v>
      </c>
      <c r="D186" s="28">
        <v>418.45</v>
      </c>
      <c r="E186" s="1">
        <f t="shared" si="7"/>
        <v>2.5864182397646429E-2</v>
      </c>
      <c r="F186" s="1">
        <f t="shared" si="8"/>
        <v>-6.4688156625283266E-3</v>
      </c>
      <c r="G186" s="1">
        <v>1.3000000000000001E-2</v>
      </c>
    </row>
    <row r="187" spans="1:7">
      <c r="A187" s="16">
        <v>43739</v>
      </c>
      <c r="B187" s="17">
        <v>54.990875000000003</v>
      </c>
      <c r="C187" s="1">
        <f t="shared" si="6"/>
        <v>4.4645647454098158E-2</v>
      </c>
      <c r="D187" s="28">
        <v>432.34</v>
      </c>
      <c r="E187" s="1">
        <f t="shared" si="7"/>
        <v>3.3193929979686843E-2</v>
      </c>
      <c r="F187" s="1">
        <f t="shared" si="8"/>
        <v>1.1451717474411316E-2</v>
      </c>
      <c r="G187" s="1"/>
    </row>
    <row r="188" spans="1:7">
      <c r="A188" s="16">
        <v>43770</v>
      </c>
      <c r="B188" s="17">
        <v>55.702091000000003</v>
      </c>
      <c r="C188" s="1">
        <f t="shared" si="6"/>
        <v>1.2933345759637449E-2</v>
      </c>
      <c r="D188" s="28">
        <v>438.94</v>
      </c>
      <c r="E188" s="1">
        <f t="shared" si="7"/>
        <v>1.5265763056853565E-2</v>
      </c>
      <c r="F188" s="1">
        <f t="shared" si="8"/>
        <v>-2.3324172972161161E-3</v>
      </c>
      <c r="G188" s="1"/>
    </row>
    <row r="189" spans="1:7">
      <c r="A189" s="16">
        <v>43800</v>
      </c>
      <c r="B189" s="17">
        <v>57.885128000000002</v>
      </c>
      <c r="C189" s="1">
        <f t="shared" si="6"/>
        <v>3.9191293554850626E-2</v>
      </c>
      <c r="D189" s="28">
        <v>457.1</v>
      </c>
      <c r="E189" s="1">
        <f t="shared" si="7"/>
        <v>4.1372397138561112E-2</v>
      </c>
      <c r="F189" s="1">
        <f t="shared" si="8"/>
        <v>-2.1811035837104864E-3</v>
      </c>
      <c r="G189" s="1">
        <v>0.01</v>
      </c>
    </row>
    <row r="190" spans="1:7">
      <c r="A190" s="16">
        <v>43831</v>
      </c>
      <c r="B190" s="17">
        <v>56.417858000000003</v>
      </c>
      <c r="C190" s="1">
        <f t="shared" si="6"/>
        <v>-2.5347961569679889E-2</v>
      </c>
      <c r="D190" s="29">
        <v>445.03</v>
      </c>
      <c r="E190" s="1">
        <f t="shared" si="7"/>
        <v>-2.6405600525049366E-2</v>
      </c>
      <c r="F190" s="1">
        <f t="shared" si="8"/>
        <v>1.0576389553694776E-3</v>
      </c>
      <c r="G190" s="1"/>
    </row>
    <row r="191" spans="1:7">
      <c r="A191" s="16">
        <v>43862</v>
      </c>
      <c r="B191" s="17">
        <v>51.927475000000001</v>
      </c>
      <c r="C191" s="1">
        <f t="shared" si="6"/>
        <v>-7.9591518699628772E-2</v>
      </c>
      <c r="D191" s="29">
        <v>402.96</v>
      </c>
      <c r="E191" s="1">
        <f t="shared" si="7"/>
        <v>-9.453295283464036E-2</v>
      </c>
      <c r="F191" s="1">
        <f t="shared" si="8"/>
        <v>1.4941434135011589E-2</v>
      </c>
      <c r="G191" s="1"/>
    </row>
    <row r="192" spans="1:7">
      <c r="A192" s="16">
        <v>43891</v>
      </c>
      <c r="B192" s="17">
        <v>42.996383999999999</v>
      </c>
      <c r="C192" s="1">
        <f t="shared" si="6"/>
        <v>-0.17199162870907936</v>
      </c>
      <c r="D192" s="29">
        <v>340.29</v>
      </c>
      <c r="E192" s="1">
        <f t="shared" si="7"/>
        <v>-0.15552412150089334</v>
      </c>
      <c r="F192" s="1">
        <f t="shared" si="8"/>
        <v>-1.6467507208186016E-2</v>
      </c>
      <c r="G192" s="1">
        <v>-3.1E-2</v>
      </c>
    </row>
    <row r="193" spans="1:7">
      <c r="A193" s="16">
        <v>43922</v>
      </c>
      <c r="B193" s="17">
        <v>46.07</v>
      </c>
      <c r="C193" s="1">
        <f t="shared" si="6"/>
        <v>7.1485453288350875E-2</v>
      </c>
      <c r="D193" s="28">
        <v>358.45</v>
      </c>
      <c r="E193" s="1">
        <f t="shared" si="7"/>
        <v>5.3366246436862497E-2</v>
      </c>
      <c r="F193" s="1">
        <f t="shared" si="8"/>
        <v>1.8119206851488379E-2</v>
      </c>
      <c r="G193" s="1"/>
    </row>
    <row r="194" spans="1:7">
      <c r="A194" s="16">
        <v>43952</v>
      </c>
      <c r="B194" s="17">
        <v>48.759998000000003</v>
      </c>
      <c r="C194" s="1">
        <f t="shared" si="6"/>
        <v>5.8389364011287137E-2</v>
      </c>
      <c r="D194" s="28">
        <v>377.95</v>
      </c>
      <c r="E194" s="1">
        <f t="shared" si="7"/>
        <v>5.4400892732598738E-2</v>
      </c>
      <c r="F194" s="1">
        <f t="shared" si="8"/>
        <v>3.9884712786883991E-3</v>
      </c>
      <c r="G194" s="1"/>
    </row>
  </sheetData>
  <conditionalFormatting sqref="C1:C7">
    <cfRule type="cellIs" dxfId="137" priority="13" operator="lessThan">
      <formula>0</formula>
    </cfRule>
    <cfRule type="cellIs" dxfId="136" priority="14" operator="greaterThan">
      <formula>0</formula>
    </cfRule>
  </conditionalFormatting>
  <conditionalFormatting sqref="E1:F7">
    <cfRule type="cellIs" dxfId="135" priority="11" operator="lessThan">
      <formula>0</formula>
    </cfRule>
    <cfRule type="cellIs" dxfId="134" priority="12" operator="greaterThan">
      <formula>0</formula>
    </cfRule>
  </conditionalFormatting>
  <conditionalFormatting sqref="G1:G7">
    <cfRule type="cellIs" dxfId="133" priority="9" operator="lessThan">
      <formula>0</formula>
    </cfRule>
    <cfRule type="cellIs" dxfId="132" priority="10" operator="greaterThan">
      <formula>0</formula>
    </cfRule>
  </conditionalFormatting>
  <conditionalFormatting sqref="C12:C194">
    <cfRule type="cellIs" dxfId="131" priority="7" operator="lessThan">
      <formula>0</formula>
    </cfRule>
    <cfRule type="cellIs" dxfId="130" priority="8" operator="greaterThan">
      <formula>0</formula>
    </cfRule>
  </conditionalFormatting>
  <conditionalFormatting sqref="E12:F194">
    <cfRule type="cellIs" dxfId="129" priority="5" operator="lessThan">
      <formula>0</formula>
    </cfRule>
    <cfRule type="cellIs" dxfId="128" priority="6" operator="greaterThan">
      <formula>0</formula>
    </cfRule>
  </conditionalFormatting>
  <conditionalFormatting sqref="G12:G194">
    <cfRule type="cellIs" dxfId="127" priority="3" operator="lessThan">
      <formula>0</formula>
    </cfRule>
    <cfRule type="cellIs" dxfId="126" priority="4" operator="greaterThan">
      <formula>0</formula>
    </cfRule>
  </conditionalFormatting>
  <conditionalFormatting sqref="M40:M43">
    <cfRule type="cellIs" dxfId="125" priority="1" operator="lessThan">
      <formula>0</formula>
    </cfRule>
    <cfRule type="cellIs" dxfId="124" priority="2" operator="greaterThan">
      <formula>0</formula>
    </cfRule>
  </conditionalFormatting>
  <hyperlinks>
    <hyperlink ref="B3" r:id="rId1" xr:uid="{4C760638-53A3-5746-9EB8-52D7E2E8BC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B0211-E280-C649-8A02-535C32E82745}">
  <dimension ref="A1:Y194"/>
  <sheetViews>
    <sheetView workbookViewId="0">
      <pane ySplit="11" topLeftCell="A33" activePane="bottomLeft" state="frozen"/>
      <selection pane="bottomLeft" activeCell="R70" sqref="R70"/>
    </sheetView>
  </sheetViews>
  <sheetFormatPr baseColWidth="10" defaultRowHeight="16"/>
  <cols>
    <col min="10" max="10" width="21.1640625" bestFit="1" customWidth="1"/>
    <col min="11" max="11" width="14.832031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8.0000000000000004E-4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85</v>
      </c>
      <c r="B3" s="8" t="s">
        <v>12</v>
      </c>
      <c r="C3" s="1"/>
      <c r="E3" s="1"/>
      <c r="F3" s="1"/>
      <c r="G3" s="9" t="s">
        <v>13</v>
      </c>
      <c r="H3" s="9">
        <f>SUBTOTAL(1,C13:C241)</f>
        <v>4.6725228244754455E-3</v>
      </c>
      <c r="J3" s="3" t="s">
        <v>14</v>
      </c>
      <c r="K3" s="10">
        <v>4.2038478015341697E-2</v>
      </c>
      <c r="L3" s="3">
        <v>102</v>
      </c>
      <c r="M3" s="9">
        <f>L3/$K$36</f>
        <v>0.56043956043956045</v>
      </c>
      <c r="N3" s="10">
        <f>K3*M3</f>
        <v>2.3560026140466227E-2</v>
      </c>
      <c r="P3" s="4" t="s">
        <v>15</v>
      </c>
      <c r="Q3" s="11">
        <f>$K$24+$K$28</f>
        <v>5.2141029791062547E-2</v>
      </c>
      <c r="R3" s="11">
        <f>$K$24+$K$28*2</f>
        <v>9.960953675764965E-2</v>
      </c>
      <c r="S3" s="11">
        <f>$K$24+$K$28*3</f>
        <v>0.14707804372423675</v>
      </c>
      <c r="T3" s="6"/>
      <c r="U3" s="5">
        <v>1</v>
      </c>
      <c r="V3" s="5">
        <v>128</v>
      </c>
      <c r="W3" s="12">
        <f>Y3*$K$36</f>
        <v>124.12400000000001</v>
      </c>
      <c r="X3" s="13">
        <f>V3/$K$36</f>
        <v>0.70329670329670335</v>
      </c>
      <c r="Y3" s="13">
        <v>0.68200000000000005</v>
      </c>
    </row>
    <row r="4" spans="1:25">
      <c r="C4" s="1"/>
      <c r="E4" s="1"/>
      <c r="F4" s="1"/>
      <c r="G4" s="9" t="s">
        <v>16</v>
      </c>
      <c r="H4" s="14">
        <f>SUBTOTAL(2,C13:C241)</f>
        <v>182</v>
      </c>
      <c r="J4" s="3" t="s">
        <v>17</v>
      </c>
      <c r="K4" s="10">
        <v>-4.3117669557207063E-2</v>
      </c>
      <c r="L4" s="3">
        <v>80</v>
      </c>
      <c r="M4" s="9">
        <f>L4/$K$36</f>
        <v>0.43956043956043955</v>
      </c>
      <c r="N4" s="10">
        <f>K4*M4</f>
        <v>-1.8952821783387721E-2</v>
      </c>
      <c r="P4" s="4" t="s">
        <v>18</v>
      </c>
      <c r="Q4" s="11">
        <f>$K$24-$K$28</f>
        <v>-4.2795984142111658E-2</v>
      </c>
      <c r="R4" s="11">
        <f>$K$24-$K$28*2</f>
        <v>-9.0264491108698761E-2</v>
      </c>
      <c r="S4" s="11">
        <f>$K$24-$K$28*3</f>
        <v>-0.13773299807528586</v>
      </c>
      <c r="T4" s="6"/>
      <c r="U4" s="5">
        <v>2</v>
      </c>
      <c r="V4" s="5">
        <v>171</v>
      </c>
      <c r="W4" s="12">
        <f t="shared" ref="W4:W5" si="0">Y4*$K$36</f>
        <v>173.62799999999999</v>
      </c>
      <c r="X4" s="13">
        <f t="shared" ref="X4:X5" si="1">V4/$K$36</f>
        <v>0.93956043956043955</v>
      </c>
      <c r="Y4" s="13">
        <v>0.95399999999999996</v>
      </c>
    </row>
    <row r="5" spans="1:25">
      <c r="A5" t="s">
        <v>65</v>
      </c>
      <c r="C5" s="1"/>
      <c r="E5" s="1"/>
      <c r="F5" s="1"/>
      <c r="G5" s="1"/>
      <c r="J5" s="3" t="s">
        <v>19</v>
      </c>
      <c r="K5" s="3"/>
      <c r="L5" s="27">
        <f>K36-L4-$L$3</f>
        <v>0</v>
      </c>
      <c r="M5" s="3"/>
      <c r="N5" s="3"/>
      <c r="P5" s="6"/>
      <c r="Q5" s="6"/>
      <c r="R5" s="6"/>
      <c r="S5" s="6"/>
      <c r="T5" s="6"/>
      <c r="U5" s="5">
        <v>3</v>
      </c>
      <c r="V5" s="5">
        <v>180</v>
      </c>
      <c r="W5" s="12">
        <f t="shared" si="0"/>
        <v>181.636</v>
      </c>
      <c r="X5" s="13">
        <f t="shared" si="1"/>
        <v>0.98901098901098905</v>
      </c>
      <c r="Y5" s="13">
        <v>0.998</v>
      </c>
    </row>
    <row r="11" spans="1:25">
      <c r="A11" s="15" t="s">
        <v>20</v>
      </c>
      <c r="B11" s="15" t="s">
        <v>21</v>
      </c>
      <c r="C11" s="15" t="s">
        <v>22</v>
      </c>
      <c r="D11" s="15" t="s">
        <v>86</v>
      </c>
      <c r="E11" s="15" t="s">
        <v>87</v>
      </c>
      <c r="F11" s="15" t="s">
        <v>88</v>
      </c>
      <c r="G11" s="15" t="s">
        <v>89</v>
      </c>
      <c r="H11" s="31" t="s">
        <v>90</v>
      </c>
    </row>
    <row r="12" spans="1:25">
      <c r="A12" s="16">
        <v>38412</v>
      </c>
      <c r="B12">
        <v>32.721648999999999</v>
      </c>
      <c r="E12" s="1"/>
      <c r="F12" s="1"/>
      <c r="G12" s="2">
        <v>4.0219999999999996E-4</v>
      </c>
      <c r="H12" s="2">
        <v>3.0196033764885999E-2</v>
      </c>
      <c r="J12" s="3" t="s">
        <v>27</v>
      </c>
      <c r="K12" s="18" t="s">
        <v>28</v>
      </c>
      <c r="L12" s="18" t="s">
        <v>29</v>
      </c>
    </row>
    <row r="13" spans="1:25">
      <c r="A13" s="16">
        <v>38443</v>
      </c>
      <c r="B13">
        <v>32.106017999999999</v>
      </c>
      <c r="C13" s="1">
        <f>(B13/B12)-1</f>
        <v>-1.8814180177777695E-2</v>
      </c>
      <c r="E13" s="1"/>
      <c r="F13" s="1"/>
      <c r="G13" s="2"/>
      <c r="H13" s="2"/>
      <c r="J13" s="19">
        <v>0.1</v>
      </c>
      <c r="K13" s="19">
        <v>-0.2</v>
      </c>
      <c r="L13" s="19" t="s">
        <v>72</v>
      </c>
    </row>
    <row r="14" spans="1:25">
      <c r="A14" s="16">
        <v>38473</v>
      </c>
      <c r="B14">
        <v>31.885189</v>
      </c>
      <c r="C14" s="1">
        <f t="shared" ref="C14:C77" si="2">(B14/B13)-1</f>
        <v>-6.8781186131521288E-3</v>
      </c>
      <c r="E14" s="1"/>
      <c r="F14" s="1"/>
      <c r="G14" s="2"/>
      <c r="H14" s="2"/>
      <c r="J14" s="19">
        <v>0.05</v>
      </c>
      <c r="K14" s="19">
        <v>-0.15</v>
      </c>
      <c r="L14" s="22" t="s">
        <v>73</v>
      </c>
    </row>
    <row r="15" spans="1:25">
      <c r="A15" s="16">
        <v>38504</v>
      </c>
      <c r="B15">
        <v>32.494143999999999</v>
      </c>
      <c r="C15" s="1">
        <f t="shared" si="2"/>
        <v>1.9098365702019171E-2</v>
      </c>
      <c r="E15" s="1"/>
      <c r="F15" s="1"/>
      <c r="G15" s="2">
        <v>2.5411000000000001E-3</v>
      </c>
      <c r="H15" s="2">
        <v>2.8004425390678999E-2</v>
      </c>
      <c r="J15" s="19">
        <v>0</v>
      </c>
      <c r="K15" s="19">
        <v>-0.1</v>
      </c>
      <c r="L15" s="22" t="s">
        <v>31</v>
      </c>
    </row>
    <row r="16" spans="1:25">
      <c r="A16" s="16">
        <v>38534</v>
      </c>
      <c r="B16">
        <v>33.042831</v>
      </c>
      <c r="C16" s="1">
        <f t="shared" si="2"/>
        <v>1.6885719469945215E-2</v>
      </c>
      <c r="E16" s="1"/>
      <c r="F16" s="1"/>
      <c r="G16" s="2"/>
      <c r="H16" s="2"/>
      <c r="J16" s="19">
        <v>-0.05</v>
      </c>
      <c r="K16" s="19">
        <v>-0.05</v>
      </c>
      <c r="L16" s="22" t="s">
        <v>32</v>
      </c>
    </row>
    <row r="17" spans="1:12">
      <c r="A17" s="16">
        <v>38565</v>
      </c>
      <c r="B17">
        <v>35.016841999999997</v>
      </c>
      <c r="C17" s="1">
        <f t="shared" si="2"/>
        <v>5.9740976794633527E-2</v>
      </c>
      <c r="E17" s="1"/>
      <c r="F17" s="1"/>
      <c r="G17" s="2"/>
      <c r="H17" s="2"/>
      <c r="J17" s="19">
        <v>-0.1</v>
      </c>
      <c r="K17" s="19">
        <v>0</v>
      </c>
      <c r="L17" s="22" t="s">
        <v>33</v>
      </c>
    </row>
    <row r="18" spans="1:12">
      <c r="A18" s="16">
        <v>38596</v>
      </c>
      <c r="B18">
        <v>38.215397000000003</v>
      </c>
      <c r="C18" s="1">
        <f t="shared" si="2"/>
        <v>9.1343331303262776E-2</v>
      </c>
      <c r="E18" s="1"/>
      <c r="F18" s="1"/>
      <c r="G18" s="2">
        <v>5.5306000000000001E-3</v>
      </c>
      <c r="H18" s="2">
        <v>3.1088777846399501E-2</v>
      </c>
      <c r="J18" s="19">
        <v>-0.15</v>
      </c>
      <c r="K18" s="19">
        <v>0.05</v>
      </c>
      <c r="L18" s="19" t="s">
        <v>34</v>
      </c>
    </row>
    <row r="19" spans="1:12">
      <c r="A19" s="16">
        <v>38626</v>
      </c>
      <c r="B19">
        <v>37.285277999999998</v>
      </c>
      <c r="C19" s="1">
        <f t="shared" si="2"/>
        <v>-2.4338854833825363E-2</v>
      </c>
      <c r="E19" s="1"/>
      <c r="F19" s="1"/>
      <c r="G19" s="2"/>
      <c r="H19" s="2"/>
      <c r="J19" s="19">
        <v>-0.2</v>
      </c>
      <c r="K19" s="19">
        <v>0.1</v>
      </c>
      <c r="L19" s="19" t="s">
        <v>35</v>
      </c>
    </row>
    <row r="20" spans="1:12">
      <c r="A20" s="16">
        <v>38657</v>
      </c>
      <c r="B20">
        <v>38.141787999999998</v>
      </c>
      <c r="C20" s="1">
        <f t="shared" si="2"/>
        <v>2.2971801363530053E-2</v>
      </c>
      <c r="D20" s="28">
        <v>210.61</v>
      </c>
      <c r="E20" s="1"/>
      <c r="F20" s="1"/>
      <c r="G20" s="2"/>
      <c r="H20" s="2"/>
      <c r="J20" s="19"/>
      <c r="K20" s="3" t="s">
        <v>37</v>
      </c>
      <c r="L20" s="3" t="s">
        <v>91</v>
      </c>
    </row>
    <row r="21" spans="1:12">
      <c r="A21" s="16">
        <v>38687</v>
      </c>
      <c r="B21">
        <v>40.744793000000001</v>
      </c>
      <c r="C21" s="1">
        <f t="shared" si="2"/>
        <v>6.8245489697546624E-2</v>
      </c>
      <c r="D21" s="28">
        <v>225.05</v>
      </c>
      <c r="E21" s="1">
        <f>D21/D20-1</f>
        <v>6.856274630834247E-2</v>
      </c>
      <c r="F21" s="1">
        <f>C21-E21</f>
        <v>-3.1725661079584633E-4</v>
      </c>
      <c r="G21" s="2">
        <v>1.517E-4</v>
      </c>
      <c r="H21" s="2">
        <v>3.1837217292257997E-2</v>
      </c>
    </row>
    <row r="22" spans="1:12">
      <c r="A22" s="16">
        <v>38718</v>
      </c>
      <c r="B22">
        <v>43.226463000000003</v>
      </c>
      <c r="C22" s="1">
        <f t="shared" si="2"/>
        <v>6.0907660029098754E-2</v>
      </c>
      <c r="D22" s="28">
        <v>238.09</v>
      </c>
      <c r="E22" s="1">
        <f t="shared" ref="E22:E85" si="3">D22/D21-1</f>
        <v>5.7942679404576758E-2</v>
      </c>
      <c r="F22" s="1">
        <f t="shared" ref="F22:F85" si="4">C22-E22</f>
        <v>2.9649806245219956E-3</v>
      </c>
      <c r="G22" s="2"/>
      <c r="H22" s="2"/>
      <c r="K22" s="32"/>
    </row>
    <row r="23" spans="1:12">
      <c r="A23" s="16">
        <v>38749</v>
      </c>
      <c r="B23">
        <v>42.377293000000002</v>
      </c>
      <c r="C23" s="1">
        <f t="shared" si="2"/>
        <v>-1.9644679232719064E-2</v>
      </c>
      <c r="D23" s="29">
        <v>236.19</v>
      </c>
      <c r="E23" s="1">
        <f t="shared" si="3"/>
        <v>-7.980175563862435E-3</v>
      </c>
      <c r="F23" s="1">
        <f t="shared" si="4"/>
        <v>-1.1664503668856629E-2</v>
      </c>
      <c r="G23" s="2"/>
      <c r="H23" s="2"/>
      <c r="J23" s="23" t="s">
        <v>92</v>
      </c>
      <c r="K23" s="3"/>
    </row>
    <row r="24" spans="1:12">
      <c r="A24" s="16">
        <v>38777</v>
      </c>
      <c r="B24">
        <v>43.865051000000001</v>
      </c>
      <c r="C24" s="1">
        <f t="shared" si="2"/>
        <v>3.5107433596572646E-2</v>
      </c>
      <c r="D24" s="28">
        <v>240.39</v>
      </c>
      <c r="E24" s="1">
        <f t="shared" si="3"/>
        <v>1.7782293915915126E-2</v>
      </c>
      <c r="F24" s="1">
        <f t="shared" si="4"/>
        <v>1.732513968065752E-2</v>
      </c>
      <c r="G24" s="2">
        <v>-8.8200000000000003E-5</v>
      </c>
      <c r="H24" s="2">
        <v>2.591427834355E-2</v>
      </c>
      <c r="J24" s="3" t="s">
        <v>40</v>
      </c>
      <c r="K24" s="24">
        <v>4.6725228244754455E-3</v>
      </c>
    </row>
    <row r="25" spans="1:12">
      <c r="A25" s="16">
        <v>38808</v>
      </c>
      <c r="B25">
        <v>45.631335999999997</v>
      </c>
      <c r="C25" s="1">
        <f t="shared" si="2"/>
        <v>4.0266338684981751E-2</v>
      </c>
      <c r="D25" s="28">
        <v>252.2</v>
      </c>
      <c r="E25" s="1">
        <f t="shared" si="3"/>
        <v>4.9128499521610802E-2</v>
      </c>
      <c r="F25" s="1">
        <f t="shared" si="4"/>
        <v>-8.8621608366290516E-3</v>
      </c>
      <c r="G25" s="2"/>
      <c r="H25" s="2"/>
      <c r="J25" s="3" t="s">
        <v>41</v>
      </c>
      <c r="K25" s="24">
        <v>3.5185998351905412E-3</v>
      </c>
    </row>
    <row r="26" spans="1:12">
      <c r="A26" s="16">
        <v>38838</v>
      </c>
      <c r="B26">
        <v>42.900390999999999</v>
      </c>
      <c r="C26" s="1">
        <f t="shared" si="2"/>
        <v>-5.9848017599134051E-2</v>
      </c>
      <c r="D26" s="29">
        <v>235.58</v>
      </c>
      <c r="E26" s="1">
        <f t="shared" si="3"/>
        <v>-6.5900079302141035E-2</v>
      </c>
      <c r="F26" s="1">
        <f t="shared" si="4"/>
        <v>6.0520617030069834E-3</v>
      </c>
      <c r="G26" s="2"/>
      <c r="H26" s="2"/>
      <c r="J26" s="3" t="s">
        <v>42</v>
      </c>
      <c r="K26" s="24">
        <v>8.6642868528750139E-3</v>
      </c>
    </row>
    <row r="27" spans="1:12">
      <c r="A27" s="16">
        <v>38869</v>
      </c>
      <c r="B27">
        <v>42.519950999999999</v>
      </c>
      <c r="C27" s="1">
        <f t="shared" si="2"/>
        <v>-8.8679844433119381E-3</v>
      </c>
      <c r="D27" s="29">
        <v>233.79</v>
      </c>
      <c r="E27" s="1">
        <f t="shared" si="3"/>
        <v>-7.5982681042534583E-3</v>
      </c>
      <c r="F27" s="1">
        <f t="shared" si="4"/>
        <v>-1.2697163390584798E-3</v>
      </c>
      <c r="G27" s="2">
        <v>-1.5679999999999999E-4</v>
      </c>
      <c r="H27" s="2">
        <v>2.3043714877978697E-2</v>
      </c>
      <c r="J27" s="3" t="s">
        <v>43</v>
      </c>
      <c r="K27" s="3" t="e">
        <v>#N/A</v>
      </c>
    </row>
    <row r="28" spans="1:12">
      <c r="A28" s="16">
        <v>38899</v>
      </c>
      <c r="B28">
        <v>42.078369000000002</v>
      </c>
      <c r="C28" s="1">
        <f t="shared" si="2"/>
        <v>-1.0385289484458604E-2</v>
      </c>
      <c r="D28" s="29">
        <v>233.41</v>
      </c>
      <c r="E28" s="1">
        <f t="shared" si="3"/>
        <v>-1.6253903075409415E-3</v>
      </c>
      <c r="F28" s="1">
        <f t="shared" si="4"/>
        <v>-8.7598991769176626E-3</v>
      </c>
      <c r="G28" s="2"/>
      <c r="H28" s="2"/>
      <c r="J28" s="3" t="s">
        <v>44</v>
      </c>
      <c r="K28" s="24">
        <v>4.7468506966587103E-2</v>
      </c>
    </row>
    <row r="29" spans="1:12">
      <c r="A29" s="16">
        <v>38930</v>
      </c>
      <c r="B29">
        <v>42.975113</v>
      </c>
      <c r="C29" s="1">
        <f t="shared" si="2"/>
        <v>2.1311282288531519E-2</v>
      </c>
      <c r="D29" s="28">
        <v>238.38</v>
      </c>
      <c r="E29" s="1">
        <f t="shared" si="3"/>
        <v>2.129300372734666E-2</v>
      </c>
      <c r="F29" s="1">
        <f t="shared" si="4"/>
        <v>1.8278561184859043E-5</v>
      </c>
      <c r="G29" s="2"/>
      <c r="H29" s="2"/>
      <c r="J29" s="3" t="s">
        <v>45</v>
      </c>
      <c r="K29" s="24">
        <v>2.2532591536369283E-3</v>
      </c>
    </row>
    <row r="30" spans="1:12">
      <c r="A30" s="16">
        <v>38961</v>
      </c>
      <c r="B30">
        <v>42.513145000000002</v>
      </c>
      <c r="C30" s="1">
        <f t="shared" si="2"/>
        <v>-1.0749663415661082E-2</v>
      </c>
      <c r="D30" s="29">
        <v>237.58</v>
      </c>
      <c r="E30" s="1">
        <f t="shared" si="3"/>
        <v>-3.355986240456299E-3</v>
      </c>
      <c r="F30" s="1">
        <f t="shared" si="4"/>
        <v>-7.3936771752047825E-3</v>
      </c>
      <c r="G30" s="2">
        <v>-3.5268999999999999E-3</v>
      </c>
      <c r="H30" s="2">
        <v>2.74045951628272E-2</v>
      </c>
      <c r="J30" s="3" t="s">
        <v>46</v>
      </c>
      <c r="K30" s="25">
        <v>1.0619189733631562</v>
      </c>
    </row>
    <row r="31" spans="1:12">
      <c r="A31" s="16">
        <v>38991</v>
      </c>
      <c r="B31">
        <v>43.797119000000002</v>
      </c>
      <c r="C31" s="1">
        <f t="shared" si="2"/>
        <v>3.0201811698475911E-2</v>
      </c>
      <c r="D31" s="28">
        <v>244.43</v>
      </c>
      <c r="E31" s="1">
        <f t="shared" si="3"/>
        <v>2.8832393299099257E-2</v>
      </c>
      <c r="F31" s="1">
        <f t="shared" si="4"/>
        <v>1.369418399376654E-3</v>
      </c>
      <c r="G31" s="2"/>
      <c r="H31" s="2"/>
      <c r="J31" s="3" t="s">
        <v>47</v>
      </c>
      <c r="K31" s="25">
        <v>-0.5188482645325001</v>
      </c>
    </row>
    <row r="32" spans="1:12">
      <c r="A32" s="16">
        <v>39022</v>
      </c>
      <c r="B32">
        <v>44.456077999999998</v>
      </c>
      <c r="C32" s="1">
        <f t="shared" si="2"/>
        <v>1.5045715678238869E-2</v>
      </c>
      <c r="D32" s="28">
        <v>252.22</v>
      </c>
      <c r="E32" s="1">
        <f t="shared" si="3"/>
        <v>3.1870065049298235E-2</v>
      </c>
      <c r="F32" s="1">
        <f t="shared" si="4"/>
        <v>-1.6824349371059366E-2</v>
      </c>
      <c r="G32" s="2"/>
      <c r="H32" s="2"/>
      <c r="J32" s="3" t="s">
        <v>48</v>
      </c>
      <c r="K32" s="24">
        <v>0.30526593311988692</v>
      </c>
    </row>
    <row r="33" spans="1:15">
      <c r="A33" s="16">
        <v>39052</v>
      </c>
      <c r="B33">
        <v>45.155799999999999</v>
      </c>
      <c r="C33" s="1">
        <f t="shared" si="2"/>
        <v>1.5739625074438601E-2</v>
      </c>
      <c r="D33" s="28">
        <v>259.74</v>
      </c>
      <c r="E33" s="1">
        <f t="shared" si="3"/>
        <v>2.98152406629133E-2</v>
      </c>
      <c r="F33" s="1">
        <f t="shared" si="4"/>
        <v>-1.4075615588474699E-2</v>
      </c>
      <c r="G33" s="2">
        <v>1.37599E-2</v>
      </c>
      <c r="H33" s="2">
        <v>3.1799788221389604E-2</v>
      </c>
      <c r="J33" s="3" t="s">
        <v>49</v>
      </c>
      <c r="K33" s="24">
        <v>-0.18557863917967488</v>
      </c>
    </row>
    <row r="34" spans="1:15">
      <c r="A34" s="16">
        <v>39083</v>
      </c>
      <c r="B34">
        <v>46.535907999999999</v>
      </c>
      <c r="C34" s="1">
        <f t="shared" si="2"/>
        <v>3.0563249903666767E-2</v>
      </c>
      <c r="D34" s="28">
        <v>259.94</v>
      </c>
      <c r="E34" s="1">
        <f t="shared" si="3"/>
        <v>7.7000077000066725E-4</v>
      </c>
      <c r="F34" s="1">
        <f t="shared" si="4"/>
        <v>2.97932491336661E-2</v>
      </c>
      <c r="G34" s="2"/>
      <c r="H34" s="2"/>
      <c r="J34" s="3" t="s">
        <v>50</v>
      </c>
      <c r="K34" s="24">
        <v>0.11968729394021205</v>
      </c>
    </row>
    <row r="35" spans="1:15">
      <c r="A35" s="16">
        <v>39114</v>
      </c>
      <c r="B35">
        <v>47.723605999999997</v>
      </c>
      <c r="C35" s="1">
        <f t="shared" si="2"/>
        <v>2.5522183858537772E-2</v>
      </c>
      <c r="D35" s="28">
        <v>265.83999999999997</v>
      </c>
      <c r="E35" s="1">
        <f t="shared" si="3"/>
        <v>2.2697545587443191E-2</v>
      </c>
      <c r="F35" s="1">
        <f t="shared" si="4"/>
        <v>2.8246382710945817E-3</v>
      </c>
      <c r="G35" s="2"/>
      <c r="H35" s="2"/>
      <c r="J35" s="3" t="s">
        <v>51</v>
      </c>
      <c r="K35" s="25">
        <v>0.85039915405453104</v>
      </c>
    </row>
    <row r="36" spans="1:15">
      <c r="A36" s="16">
        <v>39142</v>
      </c>
      <c r="B36">
        <v>47.883358000000001</v>
      </c>
      <c r="C36" s="1">
        <f t="shared" si="2"/>
        <v>3.3474419347105933E-3</v>
      </c>
      <c r="D36" s="28">
        <v>266.76</v>
      </c>
      <c r="E36" s="1">
        <f t="shared" si="3"/>
        <v>3.4607282575986886E-3</v>
      </c>
      <c r="F36" s="1">
        <f>C36-E36</f>
        <v>-1.1328632288809537E-4</v>
      </c>
      <c r="G36" s="2">
        <v>4.5737E-3</v>
      </c>
      <c r="H36" s="2">
        <v>4.5023200119742597E-2</v>
      </c>
      <c r="J36" s="3" t="s">
        <v>16</v>
      </c>
      <c r="K36" s="3">
        <v>182</v>
      </c>
    </row>
    <row r="37" spans="1:15">
      <c r="A37" s="16">
        <v>39173</v>
      </c>
      <c r="B37">
        <v>47.591628999999998</v>
      </c>
      <c r="C37" s="1">
        <f t="shared" si="2"/>
        <v>-6.0924925106548011E-3</v>
      </c>
      <c r="D37" s="28">
        <v>270.85000000000002</v>
      </c>
      <c r="E37" s="1">
        <f t="shared" si="3"/>
        <v>1.5332133753186428E-2</v>
      </c>
      <c r="F37" s="1">
        <f t="shared" si="4"/>
        <v>-2.1424626263841229E-2</v>
      </c>
      <c r="G37" s="2"/>
      <c r="H37" s="2"/>
    </row>
    <row r="38" spans="1:15">
      <c r="A38" s="16">
        <v>39203</v>
      </c>
      <c r="B38">
        <v>49.015498999999998</v>
      </c>
      <c r="C38" s="1">
        <f t="shared" si="2"/>
        <v>2.991849680119163E-2</v>
      </c>
      <c r="D38" s="28">
        <v>279.47000000000003</v>
      </c>
      <c r="E38" s="1">
        <f t="shared" si="3"/>
        <v>3.1825733800996847E-2</v>
      </c>
      <c r="F38" s="1">
        <f t="shared" si="4"/>
        <v>-1.9072369998052174E-3</v>
      </c>
      <c r="G38" s="2"/>
      <c r="H38" s="2"/>
    </row>
    <row r="39" spans="1:15">
      <c r="A39" s="16">
        <v>39234</v>
      </c>
      <c r="B39">
        <v>48.98077</v>
      </c>
      <c r="C39" s="1">
        <f t="shared" si="2"/>
        <v>-7.08530989350864E-4</v>
      </c>
      <c r="D39" s="28">
        <v>284.64999999999998</v>
      </c>
      <c r="E39" s="1">
        <f t="shared" si="3"/>
        <v>1.8535084266647406E-2</v>
      </c>
      <c r="F39" s="1">
        <f t="shared" si="4"/>
        <v>-1.924361525599827E-2</v>
      </c>
      <c r="G39" s="2">
        <v>1.1888999999999999E-3</v>
      </c>
      <c r="H39" s="2">
        <v>4.93946702290122E-2</v>
      </c>
      <c r="J39" s="3" t="s">
        <v>75</v>
      </c>
      <c r="K39" s="3" t="s">
        <v>93</v>
      </c>
      <c r="L39" s="3" t="s">
        <v>54</v>
      </c>
      <c r="M39" s="3" t="s">
        <v>55</v>
      </c>
    </row>
    <row r="40" spans="1:15">
      <c r="A40" s="16">
        <v>39264</v>
      </c>
      <c r="B40">
        <v>48.827969000000003</v>
      </c>
      <c r="C40" s="1">
        <f t="shared" si="2"/>
        <v>-3.1196120436651764E-3</v>
      </c>
      <c r="D40" s="28">
        <v>290.89999999999998</v>
      </c>
      <c r="E40" s="1">
        <f t="shared" si="3"/>
        <v>2.1956789039170976E-2</v>
      </c>
      <c r="F40" s="1">
        <f t="shared" si="4"/>
        <v>-2.5076401082836153E-2</v>
      </c>
      <c r="G40" s="2"/>
      <c r="H40" s="2"/>
      <c r="J40" s="3" t="s">
        <v>56</v>
      </c>
      <c r="K40" s="9">
        <v>9.1999999999999998E-3</v>
      </c>
      <c r="L40" s="9">
        <v>7.6600000000000001E-2</v>
      </c>
      <c r="M40" s="9">
        <f>K40-L40</f>
        <v>-6.7400000000000002E-2</v>
      </c>
    </row>
    <row r="41" spans="1:15">
      <c r="A41" s="16">
        <v>39295</v>
      </c>
      <c r="B41">
        <v>47.92503</v>
      </c>
      <c r="C41" s="1">
        <f t="shared" si="2"/>
        <v>-1.8492249800519112E-2</v>
      </c>
      <c r="D41" s="29">
        <v>283.76</v>
      </c>
      <c r="E41" s="1">
        <f t="shared" si="3"/>
        <v>-2.4544517016156675E-2</v>
      </c>
      <c r="F41" s="1">
        <f t="shared" si="4"/>
        <v>6.0522672156375634E-3</v>
      </c>
      <c r="G41" s="2"/>
      <c r="H41" s="2"/>
      <c r="J41" s="3" t="s">
        <v>57</v>
      </c>
      <c r="K41" s="9">
        <v>1.2200000000000001E-2</v>
      </c>
      <c r="L41" s="9">
        <v>6.9999999999999999E-4</v>
      </c>
      <c r="M41" s="9">
        <f>K41-L41</f>
        <v>1.1500000000000002E-2</v>
      </c>
    </row>
    <row r="42" spans="1:15">
      <c r="A42" s="16">
        <v>39326</v>
      </c>
      <c r="B42">
        <v>50.592162999999999</v>
      </c>
      <c r="C42" s="1">
        <f t="shared" si="2"/>
        <v>5.5652192601653105E-2</v>
      </c>
      <c r="D42" s="28">
        <v>305.07</v>
      </c>
      <c r="E42" s="1">
        <f t="shared" si="3"/>
        <v>7.5098674936566079E-2</v>
      </c>
      <c r="F42" s="1">
        <f t="shared" si="4"/>
        <v>-1.9446482334912973E-2</v>
      </c>
      <c r="G42" s="2">
        <v>-9.8124000000000006E-3</v>
      </c>
      <c r="H42" s="2">
        <v>4.5444373778060501E-2</v>
      </c>
      <c r="J42" s="3" t="s">
        <v>58</v>
      </c>
      <c r="K42" s="9">
        <v>2.4400000000000002E-2</v>
      </c>
      <c r="L42" s="9">
        <v>6.0100000000000001E-2</v>
      </c>
      <c r="M42" s="9">
        <f>K42-L42</f>
        <v>-3.5699999999999996E-2</v>
      </c>
    </row>
    <row r="43" spans="1:15">
      <c r="A43" s="16">
        <v>39356</v>
      </c>
      <c r="B43">
        <v>52.245232000000001</v>
      </c>
      <c r="C43" s="1">
        <f t="shared" si="2"/>
        <v>3.2674408484966388E-2</v>
      </c>
      <c r="D43" s="28">
        <v>322.08999999999997</v>
      </c>
      <c r="E43" s="1">
        <f t="shared" si="3"/>
        <v>5.5790474317369831E-2</v>
      </c>
      <c r="F43" s="1">
        <f t="shared" si="4"/>
        <v>-2.3116065832403443E-2</v>
      </c>
      <c r="G43" s="2"/>
      <c r="H43" s="2"/>
      <c r="J43" s="3" t="s">
        <v>59</v>
      </c>
      <c r="K43" s="9">
        <v>5.5E-2</v>
      </c>
      <c r="L43" s="9">
        <v>1.9599999999999999E-2</v>
      </c>
      <c r="M43" s="9">
        <f>K43-L43</f>
        <v>3.5400000000000001E-2</v>
      </c>
    </row>
    <row r="44" spans="1:15">
      <c r="A44" s="16">
        <v>39387</v>
      </c>
      <c r="B44">
        <v>50.210152000000001</v>
      </c>
      <c r="C44" s="1">
        <f t="shared" si="2"/>
        <v>-3.8952454072746834E-2</v>
      </c>
      <c r="D44" s="29">
        <v>304.93</v>
      </c>
      <c r="E44" s="1">
        <f t="shared" si="3"/>
        <v>-5.3277034369275555E-2</v>
      </c>
      <c r="F44" s="1">
        <f t="shared" si="4"/>
        <v>1.4324580296528722E-2</v>
      </c>
      <c r="G44" s="2"/>
      <c r="H44" s="2"/>
    </row>
    <row r="45" spans="1:15">
      <c r="A45" s="16">
        <v>39417</v>
      </c>
      <c r="B45">
        <v>47.056823999999999</v>
      </c>
      <c r="C45" s="1">
        <f t="shared" si="2"/>
        <v>-6.2802598167796875E-2</v>
      </c>
      <c r="D45" s="29">
        <v>297.97000000000003</v>
      </c>
      <c r="E45" s="1">
        <f t="shared" si="3"/>
        <v>-2.2824910635227735E-2</v>
      </c>
      <c r="F45" s="1">
        <f t="shared" si="4"/>
        <v>-3.9977687532569139E-2</v>
      </c>
      <c r="G45" s="2">
        <v>5.2970000000000003E-4</v>
      </c>
      <c r="H45" s="2">
        <v>3.7407549539491998E-2</v>
      </c>
    </row>
    <row r="46" spans="1:15">
      <c r="A46" s="16">
        <v>39448</v>
      </c>
      <c r="B46">
        <v>45.554561999999997</v>
      </c>
      <c r="C46" s="1">
        <f t="shared" si="2"/>
        <v>-3.1924423968774485E-2</v>
      </c>
      <c r="D46" s="29">
        <v>271.25</v>
      </c>
      <c r="E46" s="1">
        <f t="shared" si="3"/>
        <v>-8.9673457059435635E-2</v>
      </c>
      <c r="F46" s="1">
        <f t="shared" si="4"/>
        <v>5.774903309066115E-2</v>
      </c>
      <c r="G46" s="2"/>
      <c r="H46" s="2"/>
    </row>
    <row r="47" spans="1:15">
      <c r="A47" s="16">
        <v>39479</v>
      </c>
      <c r="B47">
        <v>44.757354999999997</v>
      </c>
      <c r="C47" s="1">
        <f t="shared" si="2"/>
        <v>-1.7500047525426776E-2</v>
      </c>
      <c r="D47" s="28">
        <v>278.32</v>
      </c>
      <c r="E47" s="1">
        <f t="shared" si="3"/>
        <v>2.6064516129032267E-2</v>
      </c>
      <c r="F47" s="1">
        <f t="shared" si="4"/>
        <v>-4.3564563654459043E-2</v>
      </c>
      <c r="G47" s="2"/>
      <c r="H47" s="2"/>
      <c r="J47" s="23" t="s">
        <v>77</v>
      </c>
      <c r="K47" s="3"/>
      <c r="O47" t="s">
        <v>83</v>
      </c>
    </row>
    <row r="48" spans="1:15">
      <c r="A48" s="16">
        <v>39508</v>
      </c>
      <c r="B48">
        <v>43.896090999999998</v>
      </c>
      <c r="C48" s="1">
        <f t="shared" si="2"/>
        <v>-1.9242960179393975E-2</v>
      </c>
      <c r="D48" s="29">
        <v>263.64999999999998</v>
      </c>
      <c r="E48" s="1">
        <f t="shared" si="3"/>
        <v>-5.2709111813739606E-2</v>
      </c>
      <c r="F48" s="1">
        <f t="shared" si="4"/>
        <v>3.3466151634345631E-2</v>
      </c>
      <c r="G48" s="2">
        <v>4.0869999999999996E-4</v>
      </c>
      <c r="H48" s="2">
        <v>3.3750608725543502E-2</v>
      </c>
      <c r="J48" s="3" t="s">
        <v>94</v>
      </c>
      <c r="K48" s="30">
        <v>0.61799999999999999</v>
      </c>
    </row>
    <row r="49" spans="1:11">
      <c r="A49" s="16">
        <v>39539</v>
      </c>
      <c r="B49">
        <v>47.284218000000003</v>
      </c>
      <c r="C49" s="1">
        <f t="shared" si="2"/>
        <v>7.7185164391972982E-2</v>
      </c>
      <c r="D49" s="28">
        <v>283.75</v>
      </c>
      <c r="E49" s="1">
        <f t="shared" si="3"/>
        <v>7.6237435994690017E-2</v>
      </c>
      <c r="F49" s="1">
        <f t="shared" si="4"/>
        <v>9.4772839728296532E-4</v>
      </c>
      <c r="G49" s="2"/>
      <c r="H49" s="2"/>
      <c r="J49" s="3" t="s">
        <v>95</v>
      </c>
      <c r="K49" s="30">
        <v>0.158</v>
      </c>
    </row>
    <row r="50" spans="1:11">
      <c r="A50" s="16">
        <v>39569</v>
      </c>
      <c r="B50">
        <v>48.337681000000003</v>
      </c>
      <c r="C50" s="1">
        <f t="shared" si="2"/>
        <v>2.227937871363328E-2</v>
      </c>
      <c r="D50" s="29">
        <v>283.52</v>
      </c>
      <c r="E50" s="1">
        <f t="shared" si="3"/>
        <v>-8.1057268722473097E-4</v>
      </c>
      <c r="F50" s="1">
        <f t="shared" si="4"/>
        <v>2.3089951400858011E-2</v>
      </c>
      <c r="G50" s="2"/>
      <c r="H50" s="2"/>
      <c r="J50" s="3" t="s">
        <v>96</v>
      </c>
      <c r="K50" s="30">
        <v>0.11</v>
      </c>
    </row>
    <row r="51" spans="1:11">
      <c r="A51" s="16">
        <v>39600</v>
      </c>
      <c r="B51">
        <v>44.465533999999998</v>
      </c>
      <c r="C51" s="1">
        <f t="shared" si="2"/>
        <v>-8.0106180517845016E-2</v>
      </c>
      <c r="D51" s="29">
        <v>257.66000000000003</v>
      </c>
      <c r="E51" s="1">
        <f t="shared" si="3"/>
        <v>-9.1210496613995384E-2</v>
      </c>
      <c r="F51" s="1">
        <f t="shared" si="4"/>
        <v>1.1104316096150368E-2</v>
      </c>
      <c r="G51" s="2">
        <v>-5.6530999999999994E-3</v>
      </c>
      <c r="H51" s="2">
        <v>3.0005211611356303E-2</v>
      </c>
      <c r="J51" s="3" t="s">
        <v>97</v>
      </c>
      <c r="K51" s="30">
        <v>7.5999999999999998E-2</v>
      </c>
    </row>
    <row r="52" spans="1:11">
      <c r="A52" s="16">
        <v>39630</v>
      </c>
      <c r="B52">
        <v>42.714531000000001</v>
      </c>
      <c r="C52" s="1">
        <f t="shared" si="2"/>
        <v>-3.9378881629983264E-2</v>
      </c>
      <c r="D52" s="29">
        <v>249.78</v>
      </c>
      <c r="E52" s="1">
        <f t="shared" si="3"/>
        <v>-3.0582938756500866E-2</v>
      </c>
      <c r="F52" s="1">
        <f t="shared" si="4"/>
        <v>-8.7959428734823986E-3</v>
      </c>
      <c r="G52" s="2"/>
      <c r="H52" s="2"/>
      <c r="J52" s="3" t="s">
        <v>98</v>
      </c>
      <c r="K52" s="30">
        <v>2.8000000000000001E-2</v>
      </c>
    </row>
    <row r="53" spans="1:11">
      <c r="A53" s="16">
        <v>39661</v>
      </c>
      <c r="B53">
        <v>40.529335000000003</v>
      </c>
      <c r="C53" s="1">
        <f t="shared" si="2"/>
        <v>-5.11581410082671E-2</v>
      </c>
      <c r="D53" s="29">
        <v>236.06</v>
      </c>
      <c r="E53" s="1">
        <f t="shared" si="3"/>
        <v>-5.4928336936504119E-2</v>
      </c>
      <c r="F53" s="1">
        <f t="shared" si="4"/>
        <v>3.770195928237019E-3</v>
      </c>
      <c r="G53" s="2"/>
      <c r="H53" s="2"/>
    </row>
    <row r="54" spans="1:11">
      <c r="A54" s="16">
        <v>39692</v>
      </c>
      <c r="B54">
        <v>36.820908000000003</v>
      </c>
      <c r="C54" s="1">
        <f t="shared" si="2"/>
        <v>-9.1499823522887769E-2</v>
      </c>
      <c r="D54" s="29">
        <v>201.63</v>
      </c>
      <c r="E54" s="1">
        <f t="shared" si="3"/>
        <v>-0.14585274930102521</v>
      </c>
      <c r="F54" s="1">
        <f t="shared" si="4"/>
        <v>5.435292577813744E-2</v>
      </c>
      <c r="G54" s="2">
        <v>-1.95678E-2</v>
      </c>
      <c r="H54" s="2">
        <v>2.65674903818531E-2</v>
      </c>
    </row>
    <row r="55" spans="1:11">
      <c r="A55" s="16">
        <v>39722</v>
      </c>
      <c r="B55">
        <v>29.987734</v>
      </c>
      <c r="C55" s="1">
        <f t="shared" si="2"/>
        <v>-0.18557863917967488</v>
      </c>
      <c r="D55" s="29">
        <v>160.99</v>
      </c>
      <c r="E55" s="1">
        <f t="shared" si="3"/>
        <v>-0.20155730794028659</v>
      </c>
      <c r="F55" s="1">
        <f t="shared" si="4"/>
        <v>1.5978668760611714E-2</v>
      </c>
      <c r="G55" s="2"/>
      <c r="H55" s="2"/>
      <c r="J55" t="s">
        <v>60</v>
      </c>
    </row>
    <row r="56" spans="1:11">
      <c r="A56" s="16">
        <v>39753</v>
      </c>
      <c r="B56">
        <v>28.621078000000001</v>
      </c>
      <c r="C56" s="1">
        <f t="shared" si="2"/>
        <v>-4.5573833621439963E-2</v>
      </c>
      <c r="D56" s="29">
        <v>154.27000000000001</v>
      </c>
      <c r="E56" s="1">
        <f t="shared" si="3"/>
        <v>-4.1741723088390525E-2</v>
      </c>
      <c r="F56" s="1">
        <f t="shared" si="4"/>
        <v>-3.8321105330494376E-3</v>
      </c>
      <c r="G56" s="2"/>
      <c r="H56" s="2"/>
      <c r="J56" t="s">
        <v>61</v>
      </c>
    </row>
    <row r="57" spans="1:11">
      <c r="A57" s="16">
        <v>39783</v>
      </c>
      <c r="B57">
        <v>31.190650999999999</v>
      </c>
      <c r="C57" s="1">
        <f t="shared" si="2"/>
        <v>8.9779043263150227E-2</v>
      </c>
      <c r="D57" s="28">
        <v>167.4</v>
      </c>
      <c r="E57" s="1">
        <f t="shared" si="3"/>
        <v>8.5110520515978338E-2</v>
      </c>
      <c r="F57" s="1">
        <f t="shared" si="4"/>
        <v>4.6685227471718882E-3</v>
      </c>
      <c r="G57" s="2">
        <v>-1.2184299999999999E-2</v>
      </c>
      <c r="H57" s="2">
        <v>1.6514635615901E-2</v>
      </c>
      <c r="J57" t="s">
        <v>62</v>
      </c>
    </row>
    <row r="58" spans="1:11">
      <c r="A58" s="16">
        <v>39814</v>
      </c>
      <c r="B58">
        <v>27.772559999999999</v>
      </c>
      <c r="C58" s="1">
        <f t="shared" si="2"/>
        <v>-0.10958703619235133</v>
      </c>
      <c r="D58" s="29">
        <v>155.25</v>
      </c>
      <c r="E58" s="1">
        <f t="shared" si="3"/>
        <v>-7.2580645161290369E-2</v>
      </c>
      <c r="F58" s="1">
        <f t="shared" si="4"/>
        <v>-3.7006391031060959E-2</v>
      </c>
      <c r="G58" s="2"/>
      <c r="H58" s="2"/>
    </row>
    <row r="59" spans="1:11">
      <c r="A59" s="16">
        <v>39845</v>
      </c>
      <c r="B59">
        <v>24.852958999999998</v>
      </c>
      <c r="C59" s="1">
        <f t="shared" si="2"/>
        <v>-0.10512538275189609</v>
      </c>
      <c r="D59" s="29">
        <v>140.91</v>
      </c>
      <c r="E59" s="1">
        <f t="shared" si="3"/>
        <v>-9.236714975845417E-2</v>
      </c>
      <c r="F59" s="1">
        <f t="shared" si="4"/>
        <v>-1.275823299344192E-2</v>
      </c>
      <c r="G59" s="2"/>
      <c r="H59" s="2"/>
    </row>
    <row r="60" spans="1:11">
      <c r="A60" s="16">
        <v>39873</v>
      </c>
      <c r="B60">
        <v>27.315014000000001</v>
      </c>
      <c r="C60" s="1">
        <f t="shared" si="2"/>
        <v>9.9064863865908404E-2</v>
      </c>
      <c r="D60" s="28">
        <v>152.32</v>
      </c>
      <c r="E60" s="1">
        <f t="shared" si="3"/>
        <v>8.0973671137605452E-2</v>
      </c>
      <c r="F60" s="1">
        <f t="shared" si="4"/>
        <v>1.8091192728302952E-2</v>
      </c>
      <c r="G60" s="2">
        <v>-4.6622000000000004E-2</v>
      </c>
      <c r="H60" s="2">
        <v>1.5534593983462399E-2</v>
      </c>
    </row>
    <row r="61" spans="1:11">
      <c r="A61" s="16">
        <v>39904</v>
      </c>
      <c r="B61">
        <v>29.733481999999999</v>
      </c>
      <c r="C61" s="1">
        <f t="shared" si="2"/>
        <v>8.8539877739033823E-2</v>
      </c>
      <c r="D61" s="28">
        <v>171.74</v>
      </c>
      <c r="E61" s="1">
        <f t="shared" si="3"/>
        <v>0.12749474789915971</v>
      </c>
      <c r="F61" s="1">
        <f t="shared" si="4"/>
        <v>-3.8954870160125887E-2</v>
      </c>
      <c r="G61" s="2"/>
      <c r="H61" s="2"/>
    </row>
    <row r="62" spans="1:11">
      <c r="A62" s="16">
        <v>39934</v>
      </c>
      <c r="B62">
        <v>33.292202000000003</v>
      </c>
      <c r="C62" s="1">
        <f t="shared" si="2"/>
        <v>0.11968729394021205</v>
      </c>
      <c r="D62" s="28">
        <v>193.63</v>
      </c>
      <c r="E62" s="1">
        <f t="shared" si="3"/>
        <v>0.12746011412600433</v>
      </c>
      <c r="F62" s="1">
        <f t="shared" si="4"/>
        <v>-7.7728201857922841E-3</v>
      </c>
      <c r="G62" s="2"/>
      <c r="H62" s="2"/>
    </row>
    <row r="63" spans="1:11">
      <c r="A63" s="16">
        <v>39965</v>
      </c>
      <c r="B63">
        <v>33.582721999999997</v>
      </c>
      <c r="C63" s="1">
        <f t="shared" si="2"/>
        <v>8.7263678143005841E-3</v>
      </c>
      <c r="D63" s="28">
        <v>196.08</v>
      </c>
      <c r="E63" s="1">
        <f t="shared" si="3"/>
        <v>1.2652997985849401E-2</v>
      </c>
      <c r="F63" s="1">
        <f t="shared" si="4"/>
        <v>-3.9266301715488172E-3</v>
      </c>
      <c r="G63" s="2">
        <v>1.1787700000000002E-2</v>
      </c>
      <c r="H63" s="2">
        <v>1.89507154213036E-2</v>
      </c>
    </row>
    <row r="64" spans="1:11">
      <c r="A64" s="16">
        <v>39995</v>
      </c>
      <c r="B64">
        <v>36.059306999999997</v>
      </c>
      <c r="C64" s="1">
        <f t="shared" si="2"/>
        <v>7.3745808931152235E-2</v>
      </c>
      <c r="D64" s="28">
        <v>212.94</v>
      </c>
      <c r="E64" s="1">
        <f t="shared" si="3"/>
        <v>8.5985312117502932E-2</v>
      </c>
      <c r="F64" s="1">
        <f t="shared" si="4"/>
        <v>-1.2239503186350698E-2</v>
      </c>
      <c r="G64" s="2"/>
      <c r="H64" s="2"/>
    </row>
    <row r="65" spans="1:15">
      <c r="A65" s="16">
        <v>40026</v>
      </c>
      <c r="B65">
        <v>37.228603</v>
      </c>
      <c r="C65" s="1">
        <f t="shared" si="2"/>
        <v>3.2427023625273943E-2</v>
      </c>
      <c r="D65" s="28">
        <v>215.43</v>
      </c>
      <c r="E65" s="1">
        <f t="shared" si="3"/>
        <v>1.1693434770357891E-2</v>
      </c>
      <c r="F65" s="1">
        <f t="shared" si="4"/>
        <v>2.0733588854916052E-2</v>
      </c>
      <c r="G65" s="2"/>
      <c r="H65" s="2"/>
      <c r="O65" t="s">
        <v>84</v>
      </c>
    </row>
    <row r="66" spans="1:15">
      <c r="A66" s="16">
        <v>40057</v>
      </c>
      <c r="B66">
        <v>37.954861000000001</v>
      </c>
      <c r="C66" s="1">
        <f t="shared" si="2"/>
        <v>1.9508064807051806E-2</v>
      </c>
      <c r="D66" s="28">
        <v>224.66</v>
      </c>
      <c r="E66" s="1">
        <f t="shared" si="3"/>
        <v>4.2844543471197039E-2</v>
      </c>
      <c r="F66" s="1">
        <f t="shared" si="4"/>
        <v>-2.3336478664145233E-2</v>
      </c>
      <c r="G66" s="2">
        <v>-7.7092000000000003E-3</v>
      </c>
      <c r="H66" s="2">
        <v>1.4148497493765299E-2</v>
      </c>
      <c r="O66" t="s">
        <v>384</v>
      </c>
    </row>
    <row r="67" spans="1:15">
      <c r="A67" s="16">
        <v>40087</v>
      </c>
      <c r="B67">
        <v>36.734741</v>
      </c>
      <c r="C67" s="1">
        <f t="shared" si="2"/>
        <v>-3.2146606991921289E-2</v>
      </c>
      <c r="D67" s="29">
        <v>221.69</v>
      </c>
      <c r="E67" s="1">
        <f t="shared" si="3"/>
        <v>-1.3219976853912629E-2</v>
      </c>
      <c r="F67" s="1">
        <f t="shared" si="4"/>
        <v>-1.892663013800866E-2</v>
      </c>
      <c r="G67" s="2"/>
      <c r="H67" s="2"/>
    </row>
    <row r="68" spans="1:15">
      <c r="A68" s="16">
        <v>40118</v>
      </c>
      <c r="B68">
        <v>37.497318</v>
      </c>
      <c r="C68" s="1">
        <f t="shared" si="2"/>
        <v>2.075901392635382E-2</v>
      </c>
      <c r="D68" s="28">
        <v>224.42</v>
      </c>
      <c r="E68" s="1">
        <f t="shared" si="3"/>
        <v>1.2314493211240896E-2</v>
      </c>
      <c r="F68" s="1">
        <f t="shared" si="4"/>
        <v>8.4445207151129242E-3</v>
      </c>
      <c r="G68" s="2"/>
      <c r="H68" s="2"/>
    </row>
    <row r="69" spans="1:15">
      <c r="A69" s="16">
        <v>40148</v>
      </c>
      <c r="B69">
        <v>37.272167000000003</v>
      </c>
      <c r="C69" s="1">
        <f t="shared" si="2"/>
        <v>-6.0044561053672618E-3</v>
      </c>
      <c r="D69" s="28">
        <v>229.78</v>
      </c>
      <c r="E69" s="1">
        <f t="shared" si="3"/>
        <v>2.3883789323589699E-2</v>
      </c>
      <c r="F69" s="1">
        <f t="shared" si="4"/>
        <v>-2.9888245428956961E-2</v>
      </c>
      <c r="G69" s="2">
        <v>7.1184000000000004E-3</v>
      </c>
      <c r="H69" s="2">
        <v>2.6590172250281298E-2</v>
      </c>
    </row>
    <row r="70" spans="1:15">
      <c r="A70" s="16">
        <v>40179</v>
      </c>
      <c r="B70">
        <v>37.598529999999997</v>
      </c>
      <c r="C70" s="1">
        <f t="shared" si="2"/>
        <v>8.7562121086224298E-3</v>
      </c>
      <c r="D70" s="29">
        <v>222.65</v>
      </c>
      <c r="E70" s="1">
        <f t="shared" si="3"/>
        <v>-3.1029680564017781E-2</v>
      </c>
      <c r="F70" s="1">
        <f t="shared" si="4"/>
        <v>3.9785892672640211E-2</v>
      </c>
      <c r="G70" s="2"/>
      <c r="H70" s="2"/>
    </row>
    <row r="71" spans="1:15">
      <c r="A71" s="16">
        <v>40210</v>
      </c>
      <c r="B71">
        <v>38.456935999999999</v>
      </c>
      <c r="C71" s="1">
        <f t="shared" si="2"/>
        <v>2.2830839397178559E-2</v>
      </c>
      <c r="D71" s="28">
        <v>225.01</v>
      </c>
      <c r="E71" s="1">
        <f t="shared" si="3"/>
        <v>1.059959577812708E-2</v>
      </c>
      <c r="F71" s="1">
        <f t="shared" si="4"/>
        <v>1.2231243619051479E-2</v>
      </c>
      <c r="G71" s="2"/>
      <c r="H71" s="2"/>
    </row>
    <row r="72" spans="1:15">
      <c r="A72" s="16">
        <v>40238</v>
      </c>
      <c r="B72">
        <v>40.741066000000004</v>
      </c>
      <c r="C72" s="1">
        <f t="shared" si="2"/>
        <v>5.9394487381938088E-2</v>
      </c>
      <c r="D72" s="28">
        <v>238.9</v>
      </c>
      <c r="E72" s="1">
        <f t="shared" si="3"/>
        <v>6.1730589751566756E-2</v>
      </c>
      <c r="F72" s="1">
        <f t="shared" si="4"/>
        <v>-2.3361023696286676E-3</v>
      </c>
      <c r="G72" s="2">
        <v>8.5345999999999998E-3</v>
      </c>
      <c r="H72" s="2">
        <v>2.1201818390189898E-2</v>
      </c>
    </row>
    <row r="73" spans="1:15">
      <c r="A73" s="16">
        <v>40269</v>
      </c>
      <c r="B73">
        <v>40.293197999999997</v>
      </c>
      <c r="C73" s="1">
        <f t="shared" si="2"/>
        <v>-1.0993035871962875E-2</v>
      </c>
      <c r="D73" s="28">
        <v>240.77</v>
      </c>
      <c r="E73" s="1">
        <f t="shared" si="3"/>
        <v>7.8275429049812217E-3</v>
      </c>
      <c r="F73" s="1">
        <f t="shared" si="4"/>
        <v>-1.8820578776944097E-2</v>
      </c>
      <c r="G73" s="2"/>
      <c r="H73" s="2"/>
    </row>
    <row r="74" spans="1:15">
      <c r="A74" s="16">
        <v>40299</v>
      </c>
      <c r="B74">
        <v>36.426605000000002</v>
      </c>
      <c r="C74" s="1">
        <f t="shared" si="2"/>
        <v>-9.5961432497862154E-2</v>
      </c>
      <c r="D74" s="29">
        <v>217.03</v>
      </c>
      <c r="E74" s="1">
        <f t="shared" si="3"/>
        <v>-9.8600323960626346E-2</v>
      </c>
      <c r="F74" s="1">
        <f t="shared" si="4"/>
        <v>2.6388914627641924E-3</v>
      </c>
      <c r="G74" s="2"/>
      <c r="H74" s="2"/>
    </row>
    <row r="75" spans="1:15">
      <c r="A75" s="16">
        <v>40330</v>
      </c>
      <c r="B75">
        <v>35.501015000000002</v>
      </c>
      <c r="C75" s="1">
        <f t="shared" si="2"/>
        <v>-2.5409724568073222E-2</v>
      </c>
      <c r="D75" s="29">
        <v>216.51</v>
      </c>
      <c r="E75" s="1">
        <f t="shared" si="3"/>
        <v>-2.3959821222873101E-3</v>
      </c>
      <c r="F75" s="1">
        <f t="shared" si="4"/>
        <v>-2.3013742445785912E-2</v>
      </c>
      <c r="G75" s="2">
        <v>8.5339999999999999E-3</v>
      </c>
      <c r="H75" s="2">
        <v>2.0777197995273097E-2</v>
      </c>
    </row>
    <row r="76" spans="1:15">
      <c r="A76" s="16">
        <v>40360</v>
      </c>
      <c r="B76">
        <v>38.180756000000002</v>
      </c>
      <c r="C76" s="1">
        <f t="shared" si="2"/>
        <v>7.5483503781511585E-2</v>
      </c>
      <c r="D76" s="28">
        <v>228.57</v>
      </c>
      <c r="E76" s="1">
        <f t="shared" si="3"/>
        <v>5.5701815158653245E-2</v>
      </c>
      <c r="F76" s="1">
        <f t="shared" si="4"/>
        <v>1.978168862285834E-2</v>
      </c>
      <c r="G76" s="2"/>
      <c r="H76" s="2"/>
    </row>
    <row r="77" spans="1:15">
      <c r="A77" s="16">
        <v>40391</v>
      </c>
      <c r="B77">
        <v>37.255164999999998</v>
      </c>
      <c r="C77" s="1">
        <f t="shared" si="2"/>
        <v>-2.4242343446525871E-2</v>
      </c>
      <c r="D77" s="29">
        <v>224.18</v>
      </c>
      <c r="E77" s="1">
        <f t="shared" si="3"/>
        <v>-1.9206370039812737E-2</v>
      </c>
      <c r="F77" s="1">
        <f t="shared" si="4"/>
        <v>-5.0359734067131345E-3</v>
      </c>
      <c r="G77" s="2"/>
      <c r="H77" s="2"/>
    </row>
    <row r="78" spans="1:15">
      <c r="A78" s="16">
        <v>40422</v>
      </c>
      <c r="B78">
        <v>40.196162999999999</v>
      </c>
      <c r="C78" s="1">
        <f t="shared" ref="C78:C141" si="5">(B78/B77)-1</f>
        <v>7.8942020522523526E-2</v>
      </c>
      <c r="D78" s="28">
        <v>243.71</v>
      </c>
      <c r="E78" s="1">
        <f t="shared" si="3"/>
        <v>8.7117494870193601E-2</v>
      </c>
      <c r="F78" s="1">
        <f t="shared" si="4"/>
        <v>-8.1754743476700753E-3</v>
      </c>
      <c r="G78" s="2">
        <v>1.141E-2</v>
      </c>
      <c r="H78" s="2">
        <v>2.47532787949616E-2</v>
      </c>
    </row>
    <row r="79" spans="1:15">
      <c r="A79" s="16">
        <v>40452</v>
      </c>
      <c r="B79">
        <v>40.994853999999997</v>
      </c>
      <c r="C79" s="1">
        <f t="shared" si="5"/>
        <v>1.9869831854348874E-2</v>
      </c>
      <c r="D79" s="28">
        <v>249.35</v>
      </c>
      <c r="E79" s="1">
        <f t="shared" si="3"/>
        <v>2.3142259242542318E-2</v>
      </c>
      <c r="F79" s="1">
        <f t="shared" si="4"/>
        <v>-3.272427388193444E-3</v>
      </c>
      <c r="G79" s="2"/>
      <c r="H79" s="2"/>
    </row>
    <row r="80" spans="1:15">
      <c r="A80" s="16">
        <v>40483</v>
      </c>
      <c r="B80">
        <v>41.256118999999998</v>
      </c>
      <c r="C80" s="1">
        <f t="shared" si="5"/>
        <v>6.373116977072435E-3</v>
      </c>
      <c r="D80" s="29">
        <v>247.75</v>
      </c>
      <c r="E80" s="1">
        <f t="shared" si="3"/>
        <v>-6.4166833767795861E-3</v>
      </c>
      <c r="F80" s="1">
        <f t="shared" si="4"/>
        <v>1.2789800353852021E-2</v>
      </c>
      <c r="G80" s="2"/>
      <c r="H80" s="2"/>
    </row>
    <row r="81" spans="1:8">
      <c r="A81" s="16">
        <v>40513</v>
      </c>
      <c r="B81">
        <v>42.577328000000001</v>
      </c>
      <c r="C81" s="1">
        <f t="shared" si="5"/>
        <v>3.2024558587297136E-2</v>
      </c>
      <c r="D81" s="28">
        <v>265.35000000000002</v>
      </c>
      <c r="E81" s="1">
        <f t="shared" si="3"/>
        <v>7.1039354187689252E-2</v>
      </c>
      <c r="F81" s="1">
        <f t="shared" si="4"/>
        <v>-3.9014795600392116E-2</v>
      </c>
      <c r="G81" s="2">
        <v>-1.13133E-2</v>
      </c>
      <c r="H81" s="2">
        <v>2.7641638894334401E-2</v>
      </c>
    </row>
    <row r="82" spans="1:8">
      <c r="A82" s="16">
        <v>40544</v>
      </c>
      <c r="B82">
        <v>44.226322000000003</v>
      </c>
      <c r="C82" s="1">
        <f t="shared" si="5"/>
        <v>3.8729391379374478E-2</v>
      </c>
      <c r="D82" s="29">
        <v>262.87</v>
      </c>
      <c r="E82" s="1">
        <f t="shared" si="3"/>
        <v>-9.3461465988318171E-3</v>
      </c>
      <c r="F82" s="1">
        <f t="shared" si="4"/>
        <v>4.8075537978206295E-2</v>
      </c>
      <c r="G82" s="2"/>
      <c r="H82" s="2"/>
    </row>
    <row r="83" spans="1:8">
      <c r="A83" s="16">
        <v>40575</v>
      </c>
      <c r="B83">
        <v>46.112746999999999</v>
      </c>
      <c r="C83" s="1">
        <f t="shared" si="5"/>
        <v>4.265389737812697E-2</v>
      </c>
      <c r="D83" s="28">
        <v>263.81</v>
      </c>
      <c r="E83" s="1">
        <f t="shared" si="3"/>
        <v>3.5759120477802941E-3</v>
      </c>
      <c r="F83" s="1">
        <f t="shared" si="4"/>
        <v>3.9077985330346676E-2</v>
      </c>
      <c r="G83" s="2"/>
      <c r="H83" s="2"/>
    </row>
    <row r="84" spans="1:8">
      <c r="A84" s="16">
        <v>40603</v>
      </c>
      <c r="B84">
        <v>43.341320000000003</v>
      </c>
      <c r="C84" s="1">
        <f t="shared" si="5"/>
        <v>-6.0101103931197053E-2</v>
      </c>
      <c r="D84" s="29">
        <v>262.23</v>
      </c>
      <c r="E84" s="1">
        <f t="shared" si="3"/>
        <v>-5.9891588643341542E-3</v>
      </c>
      <c r="F84" s="1">
        <f t="shared" si="4"/>
        <v>-5.4111945066862899E-2</v>
      </c>
      <c r="G84" s="2">
        <v>-1.58084E-2</v>
      </c>
      <c r="H84" s="2">
        <v>1.9738248434193501E-2</v>
      </c>
    </row>
    <row r="85" spans="1:8">
      <c r="A85" s="16">
        <v>40634</v>
      </c>
      <c r="B85">
        <v>44.862892000000002</v>
      </c>
      <c r="C85" s="1">
        <f t="shared" si="5"/>
        <v>3.5106729559690297E-2</v>
      </c>
      <c r="D85" s="28">
        <v>269.58</v>
      </c>
      <c r="E85" s="1">
        <f t="shared" si="3"/>
        <v>2.8028829653357512E-2</v>
      </c>
      <c r="F85" s="1">
        <f t="shared" si="4"/>
        <v>7.0778999063327852E-3</v>
      </c>
      <c r="G85" s="2"/>
      <c r="H85" s="2"/>
    </row>
    <row r="86" spans="1:8">
      <c r="A86" s="16">
        <v>40664</v>
      </c>
      <c r="B86">
        <v>43.57423</v>
      </c>
      <c r="C86" s="1">
        <f t="shared" si="5"/>
        <v>-2.8724452271155498E-2</v>
      </c>
      <c r="D86" s="29">
        <v>263.49</v>
      </c>
      <c r="E86" s="1">
        <f t="shared" ref="E86:E149" si="6">D86/D85-1</f>
        <v>-2.2590696639216423E-2</v>
      </c>
      <c r="F86" s="1">
        <f t="shared" ref="F86:F149" si="7">C86-E86</f>
        <v>-6.1337556319390751E-3</v>
      </c>
      <c r="G86" s="2"/>
      <c r="H86" s="2"/>
    </row>
    <row r="87" spans="1:8">
      <c r="A87" s="16">
        <v>40695</v>
      </c>
      <c r="B87">
        <v>43.892505999999997</v>
      </c>
      <c r="C87" s="1">
        <f t="shared" si="5"/>
        <v>7.3042254561928033E-3</v>
      </c>
      <c r="D87" s="29">
        <v>260.92</v>
      </c>
      <c r="E87" s="1">
        <f t="shared" si="6"/>
        <v>-9.7536908421571589E-3</v>
      </c>
      <c r="F87" s="1">
        <f t="shared" si="7"/>
        <v>1.7057916298349962E-2</v>
      </c>
      <c r="G87" s="2">
        <v>-1.51529E-2</v>
      </c>
      <c r="H87" s="2">
        <v>2.6388541838345797E-2</v>
      </c>
    </row>
    <row r="88" spans="1:8">
      <c r="A88" s="16">
        <v>40725</v>
      </c>
      <c r="B88">
        <v>44.319485</v>
      </c>
      <c r="C88" s="1">
        <f t="shared" si="5"/>
        <v>9.7278337217747701E-3</v>
      </c>
      <c r="D88" s="28">
        <v>264.52999999999997</v>
      </c>
      <c r="E88" s="1">
        <f t="shared" si="6"/>
        <v>1.3835658439368181E-2</v>
      </c>
      <c r="F88" s="1">
        <f t="shared" si="7"/>
        <v>-4.1078247175934113E-3</v>
      </c>
      <c r="G88" s="2"/>
      <c r="H88" s="2"/>
    </row>
    <row r="89" spans="1:8">
      <c r="A89" s="16">
        <v>40756</v>
      </c>
      <c r="B89">
        <v>41.408321000000001</v>
      </c>
      <c r="C89" s="1">
        <f t="shared" si="5"/>
        <v>-6.568587157544814E-2</v>
      </c>
      <c r="D89" s="29">
        <v>241.71</v>
      </c>
      <c r="E89" s="1">
        <f t="shared" si="6"/>
        <v>-8.6266207991532062E-2</v>
      </c>
      <c r="F89" s="1">
        <f t="shared" si="7"/>
        <v>2.0580336416083922E-2</v>
      </c>
      <c r="G89" s="2"/>
      <c r="H89" s="2"/>
    </row>
    <row r="90" spans="1:8">
      <c r="A90" s="16">
        <v>40787</v>
      </c>
      <c r="B90">
        <v>37.619929999999997</v>
      </c>
      <c r="C90" s="1">
        <f t="shared" si="5"/>
        <v>-9.1488640652684361E-2</v>
      </c>
      <c r="D90" s="29">
        <v>218.25</v>
      </c>
      <c r="E90" s="1">
        <f t="shared" si="6"/>
        <v>-9.705845848330652E-2</v>
      </c>
      <c r="F90" s="1">
        <f t="shared" si="7"/>
        <v>5.5698178306221591E-3</v>
      </c>
      <c r="G90" s="2">
        <v>2.1600600000000001E-2</v>
      </c>
      <c r="H90" s="2">
        <v>3.3049276923320596E-2</v>
      </c>
    </row>
    <row r="91" spans="1:8">
      <c r="A91" s="16">
        <v>40817</v>
      </c>
      <c r="B91">
        <v>39.661633000000002</v>
      </c>
      <c r="C91" s="1">
        <f t="shared" si="5"/>
        <v>5.4271844737616703E-2</v>
      </c>
      <c r="D91" s="28">
        <v>235.44</v>
      </c>
      <c r="E91" s="1">
        <f t="shared" si="6"/>
        <v>7.8762886597938175E-2</v>
      </c>
      <c r="F91" s="1">
        <f t="shared" si="7"/>
        <v>-2.4491041860321472E-2</v>
      </c>
      <c r="G91" s="2"/>
      <c r="H91" s="2"/>
    </row>
    <row r="92" spans="1:8">
      <c r="A92" s="16">
        <v>40848</v>
      </c>
      <c r="B92">
        <v>39.459781999999997</v>
      </c>
      <c r="C92" s="1">
        <f t="shared" si="5"/>
        <v>-5.0893265035255597E-3</v>
      </c>
      <c r="D92" s="29">
        <v>219.58</v>
      </c>
      <c r="E92" s="1">
        <f t="shared" si="6"/>
        <v>-6.7363234794427407E-2</v>
      </c>
      <c r="F92" s="1">
        <f t="shared" si="7"/>
        <v>6.2273908290901847E-2</v>
      </c>
      <c r="G92" s="2"/>
      <c r="H92" s="2"/>
    </row>
    <row r="93" spans="1:8">
      <c r="A93" s="16">
        <v>40878</v>
      </c>
      <c r="B93">
        <v>36.944541999999998</v>
      </c>
      <c r="C93" s="1">
        <f t="shared" si="5"/>
        <v>-6.3741862537405769E-2</v>
      </c>
      <c r="D93" s="28">
        <v>219.95</v>
      </c>
      <c r="E93" s="1">
        <f t="shared" si="6"/>
        <v>1.6850350669459502E-3</v>
      </c>
      <c r="F93" s="1">
        <f t="shared" si="7"/>
        <v>-6.5426897604351719E-2</v>
      </c>
      <c r="G93" s="2">
        <v>-1.6294E-3</v>
      </c>
      <c r="H93" s="2">
        <v>3.4317132956677598E-2</v>
      </c>
    </row>
    <row r="94" spans="1:8">
      <c r="A94" s="16">
        <v>40909</v>
      </c>
      <c r="B94">
        <v>40.723537</v>
      </c>
      <c r="C94" s="1">
        <f t="shared" si="5"/>
        <v>0.10228831636348357</v>
      </c>
      <c r="D94" s="28">
        <v>237.87</v>
      </c>
      <c r="E94" s="1">
        <f t="shared" si="6"/>
        <v>8.1473062059559176E-2</v>
      </c>
      <c r="F94" s="1">
        <f t="shared" si="7"/>
        <v>2.0815254303924391E-2</v>
      </c>
      <c r="G94" s="2"/>
      <c r="H94" s="2"/>
    </row>
    <row r="95" spans="1:8">
      <c r="A95" s="16">
        <v>40940</v>
      </c>
      <c r="B95">
        <v>42.424365999999999</v>
      </c>
      <c r="C95" s="1">
        <f t="shared" si="5"/>
        <v>4.1765257276154655E-2</v>
      </c>
      <c r="D95" s="28">
        <v>249.54</v>
      </c>
      <c r="E95" s="1">
        <f t="shared" si="6"/>
        <v>4.906041114894677E-2</v>
      </c>
      <c r="F95" s="1">
        <f t="shared" si="7"/>
        <v>-7.295153872792115E-3</v>
      </c>
      <c r="G95" s="2"/>
      <c r="H95" s="2"/>
    </row>
    <row r="96" spans="1:8">
      <c r="A96" s="16">
        <v>40969</v>
      </c>
      <c r="B96">
        <v>42.632950000000001</v>
      </c>
      <c r="C96" s="1">
        <f t="shared" si="5"/>
        <v>4.9166085357645883E-3</v>
      </c>
      <c r="D96" s="29">
        <v>244.52</v>
      </c>
      <c r="E96" s="1">
        <f t="shared" si="6"/>
        <v>-2.0117015308167008E-2</v>
      </c>
      <c r="F96" s="1">
        <f t="shared" si="7"/>
        <v>2.5033623843931596E-2</v>
      </c>
      <c r="G96" s="2">
        <v>1.3526499999999999E-2</v>
      </c>
      <c r="H96" s="2">
        <v>4.6814364510592489E-2</v>
      </c>
    </row>
    <row r="97" spans="1:8">
      <c r="A97" s="16">
        <v>41000</v>
      </c>
      <c r="B97">
        <v>41.678241999999997</v>
      </c>
      <c r="C97" s="1">
        <f t="shared" si="5"/>
        <v>-2.2393664993860418E-2</v>
      </c>
      <c r="D97" s="29">
        <v>242.18</v>
      </c>
      <c r="E97" s="1">
        <f t="shared" si="6"/>
        <v>-9.5697693440209841E-3</v>
      </c>
      <c r="F97" s="1">
        <f t="shared" si="7"/>
        <v>-1.2823895649839434E-2</v>
      </c>
      <c r="G97" s="2"/>
      <c r="H97" s="2"/>
    </row>
    <row r="98" spans="1:8">
      <c r="A98" s="16">
        <v>41030</v>
      </c>
      <c r="B98">
        <v>37.698943999999997</v>
      </c>
      <c r="C98" s="1">
        <f t="shared" si="5"/>
        <v>-9.5476627828976146E-2</v>
      </c>
      <c r="D98" s="29">
        <v>217.55</v>
      </c>
      <c r="E98" s="1">
        <f t="shared" si="6"/>
        <v>-0.10170121397307785</v>
      </c>
      <c r="F98" s="1">
        <f t="shared" si="7"/>
        <v>6.224586144101707E-3</v>
      </c>
      <c r="G98" s="2"/>
      <c r="H98" s="2"/>
    </row>
    <row r="99" spans="1:8">
      <c r="A99" s="16">
        <v>41061</v>
      </c>
      <c r="B99">
        <v>40.210068</v>
      </c>
      <c r="C99" s="1">
        <f t="shared" si="5"/>
        <v>6.6609929445238691E-2</v>
      </c>
      <c r="D99" s="28">
        <v>226.37</v>
      </c>
      <c r="E99" s="1">
        <f t="shared" si="6"/>
        <v>4.0542404045047054E-2</v>
      </c>
      <c r="F99" s="1">
        <f t="shared" si="7"/>
        <v>2.6067525400191638E-2</v>
      </c>
      <c r="G99" s="2">
        <v>-1.33568E-2</v>
      </c>
      <c r="H99" s="2">
        <v>4.2474612354414402E-2</v>
      </c>
    </row>
    <row r="100" spans="1:8">
      <c r="A100" s="16">
        <v>41091</v>
      </c>
      <c r="B100">
        <v>39.849049000000001</v>
      </c>
      <c r="C100" s="1">
        <f t="shared" si="5"/>
        <v>-8.9783235382739912E-3</v>
      </c>
      <c r="D100" s="28">
        <v>229.43</v>
      </c>
      <c r="E100" s="1">
        <f t="shared" si="6"/>
        <v>1.3517692273711246E-2</v>
      </c>
      <c r="F100" s="1">
        <f t="shared" si="7"/>
        <v>-2.2496015811985237E-2</v>
      </c>
      <c r="G100" s="2"/>
      <c r="H100" s="2"/>
    </row>
    <row r="101" spans="1:8">
      <c r="A101" s="16">
        <v>41122</v>
      </c>
      <c r="B101">
        <v>40.290309999999998</v>
      </c>
      <c r="C101" s="1">
        <f t="shared" si="5"/>
        <v>1.107331319249294E-2</v>
      </c>
      <c r="D101" s="29">
        <v>227.95</v>
      </c>
      <c r="E101" s="1">
        <f t="shared" si="6"/>
        <v>-6.4507692978251763E-3</v>
      </c>
      <c r="F101" s="1">
        <f t="shared" si="7"/>
        <v>1.7524082490318116E-2</v>
      </c>
      <c r="G101" s="2"/>
      <c r="H101" s="2"/>
    </row>
    <row r="102" spans="1:8">
      <c r="A102" s="16">
        <v>41153</v>
      </c>
      <c r="B102">
        <v>40.402617999999997</v>
      </c>
      <c r="C102" s="1">
        <f t="shared" si="5"/>
        <v>2.787469245086438E-3</v>
      </c>
      <c r="D102" s="28">
        <v>237.52</v>
      </c>
      <c r="E102" s="1">
        <f t="shared" si="6"/>
        <v>4.1982890984865184E-2</v>
      </c>
      <c r="F102" s="1">
        <f t="shared" si="7"/>
        <v>-3.9195421739778746E-2</v>
      </c>
      <c r="G102" s="2">
        <v>-5.2326999999999999E-3</v>
      </c>
      <c r="H102" s="2">
        <v>3.4552549467567098E-2</v>
      </c>
    </row>
    <row r="103" spans="1:8">
      <c r="A103" s="16">
        <v>41183</v>
      </c>
      <c r="B103">
        <v>41.131698999999998</v>
      </c>
      <c r="C103" s="1">
        <f t="shared" si="5"/>
        <v>1.8045390028933239E-2</v>
      </c>
      <c r="D103" s="29">
        <v>236.86</v>
      </c>
      <c r="E103" s="1">
        <f t="shared" si="6"/>
        <v>-2.7787133715055923E-3</v>
      </c>
      <c r="F103" s="1">
        <f t="shared" si="7"/>
        <v>2.0824103400438831E-2</v>
      </c>
      <c r="G103" s="2"/>
      <c r="H103" s="2"/>
    </row>
    <row r="104" spans="1:8">
      <c r="A104" s="16">
        <v>41214</v>
      </c>
      <c r="B104">
        <v>42.190109</v>
      </c>
      <c r="C104" s="1">
        <f t="shared" si="5"/>
        <v>2.5732221759183993E-2</v>
      </c>
      <c r="D104" s="28">
        <v>241.75</v>
      </c>
      <c r="E104" s="1">
        <f t="shared" si="6"/>
        <v>2.064510681415177E-2</v>
      </c>
      <c r="F104" s="1">
        <f t="shared" si="7"/>
        <v>5.0871149450322228E-3</v>
      </c>
      <c r="G104" s="2"/>
      <c r="H104" s="2"/>
    </row>
    <row r="105" spans="1:8">
      <c r="A105" s="16">
        <v>41244</v>
      </c>
      <c r="B105">
        <v>43.468356999999997</v>
      </c>
      <c r="C105" s="1">
        <f t="shared" si="5"/>
        <v>3.0297338174689159E-2</v>
      </c>
      <c r="D105" s="28">
        <v>251.15</v>
      </c>
      <c r="E105" s="1">
        <f t="shared" si="6"/>
        <v>3.888314374353663E-2</v>
      </c>
      <c r="F105" s="1">
        <f t="shared" si="7"/>
        <v>-8.585805568847471E-3</v>
      </c>
      <c r="G105" s="2">
        <v>2.3816000000000002E-3</v>
      </c>
      <c r="H105" s="2">
        <v>2.8552443418107299E-2</v>
      </c>
    </row>
    <row r="106" spans="1:8">
      <c r="A106" s="16">
        <v>41275</v>
      </c>
      <c r="B106">
        <v>45.638786000000003</v>
      </c>
      <c r="C106" s="1">
        <f t="shared" si="5"/>
        <v>4.993124078740796E-2</v>
      </c>
      <c r="D106" s="28">
        <v>258.73</v>
      </c>
      <c r="E106" s="1">
        <f t="shared" si="6"/>
        <v>3.0181166633485912E-2</v>
      </c>
      <c r="F106" s="1">
        <f t="shared" si="7"/>
        <v>1.9750074153922048E-2</v>
      </c>
      <c r="G106" s="2"/>
      <c r="H106" s="2"/>
    </row>
    <row r="107" spans="1:8">
      <c r="A107" s="16">
        <v>41306</v>
      </c>
      <c r="B107">
        <v>46.559029000000002</v>
      </c>
      <c r="C107" s="1">
        <f t="shared" si="5"/>
        <v>2.0163616972633802E-2</v>
      </c>
      <c r="D107" s="28">
        <v>261.77999999999997</v>
      </c>
      <c r="E107" s="1">
        <f t="shared" si="6"/>
        <v>1.1788350790399083E-2</v>
      </c>
      <c r="F107" s="1">
        <f t="shared" si="7"/>
        <v>8.3752661822347196E-3</v>
      </c>
      <c r="G107" s="2"/>
      <c r="H107" s="2"/>
    </row>
    <row r="108" spans="1:8">
      <c r="A108" s="16">
        <v>41334</v>
      </c>
      <c r="B108">
        <v>48.109336999999996</v>
      </c>
      <c r="C108" s="1">
        <f t="shared" si="5"/>
        <v>3.3297687544127985E-2</v>
      </c>
      <c r="D108" s="29">
        <v>261.77999999999997</v>
      </c>
      <c r="E108" s="1">
        <f t="shared" si="6"/>
        <v>0</v>
      </c>
      <c r="F108" s="1">
        <f t="shared" si="7"/>
        <v>3.3297687544127985E-2</v>
      </c>
      <c r="G108" s="2">
        <v>1.1027100000000001E-2</v>
      </c>
      <c r="H108" s="2">
        <v>2.1787179506434402E-2</v>
      </c>
    </row>
    <row r="109" spans="1:8">
      <c r="A109" s="16">
        <v>41365</v>
      </c>
      <c r="B109">
        <v>50.838276</v>
      </c>
      <c r="C109" s="1">
        <f t="shared" si="5"/>
        <v>5.6723687545309653E-2</v>
      </c>
      <c r="D109" s="28">
        <v>274.51</v>
      </c>
      <c r="E109" s="1">
        <f t="shared" si="6"/>
        <v>4.8628619451447808E-2</v>
      </c>
      <c r="F109" s="1">
        <f t="shared" si="7"/>
        <v>8.0950680938618458E-3</v>
      </c>
      <c r="G109" s="2"/>
      <c r="H109" s="2"/>
    </row>
    <row r="110" spans="1:8">
      <c r="A110" s="16">
        <v>41395</v>
      </c>
      <c r="B110">
        <v>46.924435000000003</v>
      </c>
      <c r="C110" s="1">
        <f t="shared" si="5"/>
        <v>-7.6986107868803333E-2</v>
      </c>
      <c r="D110" s="29">
        <v>260.64</v>
      </c>
      <c r="E110" s="1">
        <f t="shared" si="6"/>
        <v>-5.0526392481148208E-2</v>
      </c>
      <c r="F110" s="1">
        <f t="shared" si="7"/>
        <v>-2.6459715387655125E-2</v>
      </c>
      <c r="G110" s="2"/>
      <c r="H110" s="2"/>
    </row>
    <row r="111" spans="1:8">
      <c r="A111" s="16">
        <v>41426</v>
      </c>
      <c r="B111">
        <v>46.392623999999998</v>
      </c>
      <c r="C111" s="1">
        <f t="shared" si="5"/>
        <v>-1.1333349032332629E-2</v>
      </c>
      <c r="D111" s="29">
        <v>252.46</v>
      </c>
      <c r="E111" s="1">
        <f t="shared" si="6"/>
        <v>-3.1384284837323473E-2</v>
      </c>
      <c r="F111" s="1">
        <f t="shared" si="7"/>
        <v>2.0050935804990844E-2</v>
      </c>
      <c r="G111" s="2">
        <v>6.8098000000000004E-3</v>
      </c>
      <c r="H111" s="2">
        <v>1.8759642545706601E-2</v>
      </c>
    </row>
    <row r="112" spans="1:8">
      <c r="A112" s="16">
        <v>41456</v>
      </c>
      <c r="B112">
        <v>47.609741</v>
      </c>
      <c r="C112" s="1">
        <f t="shared" si="5"/>
        <v>2.6235140310235661E-2</v>
      </c>
      <c r="D112" s="28">
        <v>255.89</v>
      </c>
      <c r="E112" s="1">
        <f t="shared" si="6"/>
        <v>1.3586310702685456E-2</v>
      </c>
      <c r="F112" s="1">
        <f t="shared" si="7"/>
        <v>1.2648829607550205E-2</v>
      </c>
      <c r="G112" s="2"/>
      <c r="H112" s="2"/>
    </row>
    <row r="113" spans="1:8">
      <c r="A113" s="16">
        <v>41487</v>
      </c>
      <c r="B113">
        <v>46.906517000000001</v>
      </c>
      <c r="C113" s="1">
        <f t="shared" si="5"/>
        <v>-1.4770590749485502E-2</v>
      </c>
      <c r="D113" s="29">
        <v>251.82</v>
      </c>
      <c r="E113" s="1">
        <f t="shared" si="6"/>
        <v>-1.5905271796475051E-2</v>
      </c>
      <c r="F113" s="1">
        <f t="shared" si="7"/>
        <v>1.1346810469895496E-3</v>
      </c>
      <c r="G113" s="2"/>
      <c r="H113" s="2"/>
    </row>
    <row r="114" spans="1:8">
      <c r="A114" s="16">
        <v>41518</v>
      </c>
      <c r="B114">
        <v>50.849583000000003</v>
      </c>
      <c r="C114" s="1">
        <f t="shared" si="5"/>
        <v>8.4062221034232776E-2</v>
      </c>
      <c r="D114" s="28">
        <v>268.27</v>
      </c>
      <c r="E114" s="1">
        <f t="shared" si="6"/>
        <v>6.5324438090699655E-2</v>
      </c>
      <c r="F114" s="1">
        <f t="shared" si="7"/>
        <v>1.8737782943533121E-2</v>
      </c>
      <c r="G114" s="2">
        <v>9.8790000000000006E-3</v>
      </c>
      <c r="H114" s="2">
        <v>2.0934299645784197E-2</v>
      </c>
    </row>
    <row r="115" spans="1:8">
      <c r="A115" s="16">
        <v>41548</v>
      </c>
      <c r="B115">
        <v>51.830165999999998</v>
      </c>
      <c r="C115" s="1">
        <f t="shared" si="5"/>
        <v>1.928399294837857E-2</v>
      </c>
      <c r="D115" s="28">
        <v>275.51</v>
      </c>
      <c r="E115" s="1">
        <f t="shared" si="6"/>
        <v>2.6987736235881687E-2</v>
      </c>
      <c r="F115" s="1">
        <f t="shared" si="7"/>
        <v>-7.7037432875031175E-3</v>
      </c>
      <c r="G115" s="2"/>
      <c r="H115" s="2"/>
    </row>
    <row r="116" spans="1:8">
      <c r="A116" s="16">
        <v>41579</v>
      </c>
      <c r="B116">
        <v>51.846966000000002</v>
      </c>
      <c r="C116" s="1">
        <f t="shared" si="5"/>
        <v>3.2413556229027307E-4</v>
      </c>
      <c r="D116" s="29">
        <v>274.89</v>
      </c>
      <c r="E116" s="1">
        <f t="shared" si="6"/>
        <v>-2.2503720373125979E-3</v>
      </c>
      <c r="F116" s="1">
        <f t="shared" si="7"/>
        <v>2.574507599602871E-3</v>
      </c>
      <c r="G116" s="2"/>
      <c r="H116" s="2"/>
    </row>
    <row r="117" spans="1:8">
      <c r="A117" s="16">
        <v>41609</v>
      </c>
      <c r="B117">
        <v>51.485802</v>
      </c>
      <c r="C117" s="1">
        <f t="shared" si="5"/>
        <v>-6.9659620969914071E-3</v>
      </c>
      <c r="D117" s="29">
        <v>273.7</v>
      </c>
      <c r="E117" s="1">
        <f t="shared" si="6"/>
        <v>-4.3290043290042934E-3</v>
      </c>
      <c r="F117" s="1">
        <f t="shared" si="7"/>
        <v>-2.6369577679871137E-3</v>
      </c>
      <c r="G117" s="2">
        <v>9.2499999999999999E-5</v>
      </c>
      <c r="H117" s="2">
        <v>2.3586400359617801E-2</v>
      </c>
    </row>
    <row r="118" spans="1:8">
      <c r="A118" s="16">
        <v>41640</v>
      </c>
      <c r="B118">
        <v>48.611694</v>
      </c>
      <c r="C118" s="1">
        <f t="shared" si="5"/>
        <v>-5.5823312221105148E-2</v>
      </c>
      <c r="D118" s="29">
        <v>261.14</v>
      </c>
      <c r="E118" s="1">
        <f t="shared" si="6"/>
        <v>-4.5889660211910877E-2</v>
      </c>
      <c r="F118" s="1">
        <f t="shared" si="7"/>
        <v>-9.9336520091942715E-3</v>
      </c>
      <c r="G118" s="2"/>
      <c r="H118" s="2"/>
    </row>
    <row r="119" spans="1:8">
      <c r="A119" s="16">
        <v>41671</v>
      </c>
      <c r="B119">
        <v>50.569102999999998</v>
      </c>
      <c r="C119" s="1">
        <f t="shared" si="5"/>
        <v>4.0266216602120375E-2</v>
      </c>
      <c r="D119" s="28">
        <v>266.49</v>
      </c>
      <c r="E119" s="1">
        <f t="shared" si="6"/>
        <v>2.0487095044803727E-2</v>
      </c>
      <c r="F119" s="1">
        <f t="shared" si="7"/>
        <v>1.9779121557316648E-2</v>
      </c>
      <c r="G119" s="2"/>
      <c r="H119" s="2"/>
    </row>
    <row r="120" spans="1:8">
      <c r="A120" s="16">
        <v>41699</v>
      </c>
      <c r="B120">
        <v>50.279747</v>
      </c>
      <c r="C120" s="1">
        <f t="shared" si="5"/>
        <v>-5.7219919443696199E-3</v>
      </c>
      <c r="D120" s="28">
        <v>267.27</v>
      </c>
      <c r="E120" s="1">
        <f t="shared" si="6"/>
        <v>2.9269390971518039E-3</v>
      </c>
      <c r="F120" s="1">
        <f t="shared" si="7"/>
        <v>-8.6489310415214238E-3</v>
      </c>
      <c r="G120" s="2">
        <v>1.08372E-2</v>
      </c>
      <c r="H120" s="2">
        <v>2.79099962028884E-2</v>
      </c>
    </row>
    <row r="121" spans="1:8">
      <c r="A121" s="16">
        <v>41730</v>
      </c>
      <c r="B121">
        <v>50.346831999999999</v>
      </c>
      <c r="C121" s="1">
        <f t="shared" si="5"/>
        <v>1.33423503503316E-3</v>
      </c>
      <c r="D121" s="29">
        <v>265.95</v>
      </c>
      <c r="E121" s="1">
        <f t="shared" si="6"/>
        <v>-4.9388259063867235E-3</v>
      </c>
      <c r="F121" s="1">
        <f t="shared" si="7"/>
        <v>6.2730609414198835E-3</v>
      </c>
      <c r="G121" s="2"/>
      <c r="H121" s="2"/>
    </row>
    <row r="122" spans="1:8">
      <c r="A122" s="16">
        <v>41760</v>
      </c>
      <c r="B122">
        <v>51.967064000000001</v>
      </c>
      <c r="C122" s="1">
        <f t="shared" si="5"/>
        <v>3.2181409150033646E-2</v>
      </c>
      <c r="D122" s="28">
        <v>274.72000000000003</v>
      </c>
      <c r="E122" s="1">
        <f t="shared" si="6"/>
        <v>3.2976123331453389E-2</v>
      </c>
      <c r="F122" s="1">
        <f t="shared" si="7"/>
        <v>-7.9471418141974226E-4</v>
      </c>
      <c r="G122" s="2"/>
      <c r="H122" s="2"/>
    </row>
    <row r="123" spans="1:8">
      <c r="A123" s="16">
        <v>41791</v>
      </c>
      <c r="B123">
        <v>53.075645000000002</v>
      </c>
      <c r="C123" s="1">
        <f t="shared" si="5"/>
        <v>2.1332376984006585E-2</v>
      </c>
      <c r="D123" s="28">
        <v>282.83999999999997</v>
      </c>
      <c r="E123" s="1">
        <f t="shared" si="6"/>
        <v>2.9557367501455767E-2</v>
      </c>
      <c r="F123" s="1">
        <f t="shared" si="7"/>
        <v>-8.2249905174491822E-3</v>
      </c>
      <c r="G123" s="2">
        <v>3.4470000000000003E-4</v>
      </c>
      <c r="H123" s="2">
        <v>2.8836962035194501E-2</v>
      </c>
    </row>
    <row r="124" spans="1:8">
      <c r="A124" s="16">
        <v>41821</v>
      </c>
      <c r="B124">
        <v>53.969420999999997</v>
      </c>
      <c r="C124" s="1">
        <f t="shared" si="5"/>
        <v>1.6839663465229693E-2</v>
      </c>
      <c r="D124" s="28">
        <v>288.69</v>
      </c>
      <c r="E124" s="1">
        <f t="shared" si="6"/>
        <v>2.0683071701315336E-2</v>
      </c>
      <c r="F124" s="1">
        <f t="shared" si="7"/>
        <v>-3.8434082360856436E-3</v>
      </c>
      <c r="G124" s="2"/>
      <c r="H124" s="2"/>
    </row>
    <row r="125" spans="1:8">
      <c r="A125" s="16">
        <v>41852</v>
      </c>
      <c r="B125">
        <v>53.728831999999997</v>
      </c>
      <c r="C125" s="1">
        <f t="shared" si="5"/>
        <v>-4.4578762481072287E-3</v>
      </c>
      <c r="D125" s="29">
        <v>287.07</v>
      </c>
      <c r="E125" s="1">
        <f t="shared" si="6"/>
        <v>-5.6115556479268136E-3</v>
      </c>
      <c r="F125" s="1">
        <f t="shared" si="7"/>
        <v>1.1536793998195849E-3</v>
      </c>
      <c r="G125" s="2"/>
      <c r="H125" s="2"/>
    </row>
    <row r="126" spans="1:8">
      <c r="A126" s="16">
        <v>41883</v>
      </c>
      <c r="B126">
        <v>50.953457</v>
      </c>
      <c r="C126" s="1">
        <f t="shared" si="5"/>
        <v>-5.165522675050882E-2</v>
      </c>
      <c r="D126" s="29">
        <v>272.89999999999998</v>
      </c>
      <c r="E126" s="1">
        <f t="shared" si="6"/>
        <v>-4.936078308426517E-2</v>
      </c>
      <c r="F126" s="1">
        <f t="shared" si="7"/>
        <v>-2.2944436662436507E-3</v>
      </c>
      <c r="G126" s="2">
        <v>1.2333999999999999E-3</v>
      </c>
      <c r="H126" s="2">
        <v>2.5578677660755802E-2</v>
      </c>
    </row>
    <row r="127" spans="1:8">
      <c r="A127" s="16">
        <v>41913</v>
      </c>
      <c r="B127">
        <v>52.790286999999999</v>
      </c>
      <c r="C127" s="1">
        <f t="shared" si="5"/>
        <v>3.6049173268067003E-2</v>
      </c>
      <c r="D127" s="28">
        <v>275.51</v>
      </c>
      <c r="E127" s="1">
        <f t="shared" si="6"/>
        <v>9.5639428362037648E-3</v>
      </c>
      <c r="F127" s="1">
        <f t="shared" si="7"/>
        <v>2.6485230431863238E-2</v>
      </c>
      <c r="G127" s="2"/>
      <c r="H127" s="2"/>
    </row>
    <row r="128" spans="1:8">
      <c r="A128" s="16">
        <v>41944</v>
      </c>
      <c r="B128">
        <v>50.795093999999999</v>
      </c>
      <c r="C128" s="1">
        <f t="shared" si="5"/>
        <v>-3.7794698861932652E-2</v>
      </c>
      <c r="D128" s="29">
        <v>273.51</v>
      </c>
      <c r="E128" s="1">
        <f t="shared" si="6"/>
        <v>-7.2592646364922908E-3</v>
      </c>
      <c r="F128" s="1">
        <f t="shared" si="7"/>
        <v>-3.0535434225440361E-2</v>
      </c>
      <c r="G128" s="2"/>
      <c r="H128" s="2"/>
    </row>
    <row r="129" spans="1:8">
      <c r="A129" s="16">
        <v>41974</v>
      </c>
      <c r="B129">
        <v>49.119484</v>
      </c>
      <c r="C129" s="1">
        <f t="shared" si="5"/>
        <v>-3.2987634593214854E-2</v>
      </c>
      <c r="D129" s="29">
        <v>268.31</v>
      </c>
      <c r="E129" s="1">
        <f t="shared" si="6"/>
        <v>-1.9012101934115733E-2</v>
      </c>
      <c r="F129" s="1">
        <f t="shared" si="7"/>
        <v>-1.3975532659099121E-2</v>
      </c>
      <c r="G129" s="2">
        <v>8.1188000000000007E-3</v>
      </c>
      <c r="H129" s="2">
        <v>2.1029467171905097E-2</v>
      </c>
    </row>
    <row r="130" spans="1:8">
      <c r="A130" s="16">
        <v>42005</v>
      </c>
      <c r="B130">
        <v>49.038978999999998</v>
      </c>
      <c r="C130" s="1">
        <f t="shared" si="5"/>
        <v>-1.6389626568553695E-3</v>
      </c>
      <c r="D130" s="28">
        <v>273.61</v>
      </c>
      <c r="E130" s="1">
        <f t="shared" si="6"/>
        <v>1.9753270470724171E-2</v>
      </c>
      <c r="F130" s="1">
        <f t="shared" si="7"/>
        <v>-2.1392233127579541E-2</v>
      </c>
      <c r="G130" s="2"/>
      <c r="H130" s="2"/>
    </row>
    <row r="131" spans="1:8">
      <c r="A131" s="16">
        <v>42036</v>
      </c>
      <c r="B131">
        <v>53.291473000000003</v>
      </c>
      <c r="C131" s="1">
        <f t="shared" si="5"/>
        <v>8.6716609658614718E-2</v>
      </c>
      <c r="D131" s="28">
        <v>284.85000000000002</v>
      </c>
      <c r="E131" s="1">
        <f t="shared" si="6"/>
        <v>4.1080369869522348E-2</v>
      </c>
      <c r="F131" s="1">
        <f t="shared" si="7"/>
        <v>4.563623978909237E-2</v>
      </c>
      <c r="G131" s="2"/>
      <c r="H131" s="2"/>
    </row>
    <row r="132" spans="1:8">
      <c r="A132" s="16">
        <v>42064</v>
      </c>
      <c r="B132">
        <v>53.509780999999997</v>
      </c>
      <c r="C132" s="1">
        <f t="shared" si="5"/>
        <v>4.0964902583944252E-3</v>
      </c>
      <c r="D132" s="28">
        <v>285.06</v>
      </c>
      <c r="E132" s="1">
        <f t="shared" si="6"/>
        <v>7.3723012111637232E-4</v>
      </c>
      <c r="F132" s="1">
        <f t="shared" si="7"/>
        <v>3.3592601372780528E-3</v>
      </c>
      <c r="G132" s="2">
        <v>2.3170099999999999E-2</v>
      </c>
      <c r="H132" s="2">
        <v>2.2669316822291799E-2</v>
      </c>
    </row>
    <row r="133" spans="1:8">
      <c r="A133" s="16">
        <v>42095</v>
      </c>
      <c r="B133">
        <v>55.458942</v>
      </c>
      <c r="C133" s="1">
        <f t="shared" si="5"/>
        <v>3.6426256351151931E-2</v>
      </c>
      <c r="D133" s="28">
        <v>298.72000000000003</v>
      </c>
      <c r="E133" s="1">
        <f t="shared" si="6"/>
        <v>4.791973619588874E-2</v>
      </c>
      <c r="F133" s="1">
        <f t="shared" si="7"/>
        <v>-1.1493479844736809E-2</v>
      </c>
      <c r="G133" s="2"/>
      <c r="H133" s="2"/>
    </row>
    <row r="134" spans="1:8">
      <c r="A134" s="16">
        <v>42125</v>
      </c>
      <c r="B134">
        <v>56.062511000000001</v>
      </c>
      <c r="C134" s="1">
        <f t="shared" si="5"/>
        <v>1.0883168308547964E-2</v>
      </c>
      <c r="D134" s="29">
        <v>295.64999999999998</v>
      </c>
      <c r="E134" s="1">
        <f t="shared" si="6"/>
        <v>-1.0277182645956229E-2</v>
      </c>
      <c r="F134" s="1">
        <f t="shared" si="7"/>
        <v>2.1160350954504192E-2</v>
      </c>
      <c r="G134" s="2"/>
      <c r="H134" s="2"/>
    </row>
    <row r="135" spans="1:8">
      <c r="A135" s="16">
        <v>42156</v>
      </c>
      <c r="B135">
        <v>53.385792000000002</v>
      </c>
      <c r="C135" s="1">
        <f t="shared" si="5"/>
        <v>-4.7745257075624048E-2</v>
      </c>
      <c r="D135" s="29">
        <v>285.98</v>
      </c>
      <c r="E135" s="1">
        <f t="shared" si="6"/>
        <v>-3.2707593438186855E-2</v>
      </c>
      <c r="F135" s="1">
        <f t="shared" si="7"/>
        <v>-1.5037663637437193E-2</v>
      </c>
      <c r="G135" s="2">
        <v>4.5437000000000003E-3</v>
      </c>
      <c r="H135" s="2">
        <v>1.8493015935471299E-2</v>
      </c>
    </row>
    <row r="136" spans="1:8">
      <c r="A136" s="16">
        <v>42186</v>
      </c>
      <c r="B136">
        <v>52.854602999999997</v>
      </c>
      <c r="C136" s="1">
        <f t="shared" si="5"/>
        <v>-9.9500069231904797E-3</v>
      </c>
      <c r="D136" s="29">
        <v>277.76</v>
      </c>
      <c r="E136" s="1">
        <f t="shared" si="6"/>
        <v>-2.8743268760053287E-2</v>
      </c>
      <c r="F136" s="1">
        <f t="shared" si="7"/>
        <v>1.8793261836862807E-2</v>
      </c>
      <c r="G136" s="2"/>
      <c r="H136" s="2"/>
    </row>
    <row r="137" spans="1:8">
      <c r="A137" s="16">
        <v>42217</v>
      </c>
      <c r="B137">
        <v>49.374431999999999</v>
      </c>
      <c r="C137" s="1">
        <f t="shared" si="5"/>
        <v>-6.5844236877533602E-2</v>
      </c>
      <c r="D137" s="29">
        <v>254.71</v>
      </c>
      <c r="E137" s="1">
        <f t="shared" si="6"/>
        <v>-8.2985311059907807E-2</v>
      </c>
      <c r="F137" s="1">
        <f t="shared" si="7"/>
        <v>1.7141074182374205E-2</v>
      </c>
      <c r="G137" s="2"/>
      <c r="H137" s="2"/>
    </row>
    <row r="138" spans="1:8">
      <c r="A138" s="16">
        <v>42248</v>
      </c>
      <c r="B138">
        <v>47.629939999999998</v>
      </c>
      <c r="C138" s="1">
        <f t="shared" si="5"/>
        <v>-3.533188999521053E-2</v>
      </c>
      <c r="D138" s="29">
        <v>242.84</v>
      </c>
      <c r="E138" s="1">
        <f t="shared" si="6"/>
        <v>-4.6602017981233534E-2</v>
      </c>
      <c r="F138" s="1">
        <f t="shared" si="7"/>
        <v>1.1270127986023004E-2</v>
      </c>
      <c r="G138" s="2">
        <v>2.3227999999999999E-3</v>
      </c>
      <c r="H138" s="2">
        <v>2.4546752067187996E-2</v>
      </c>
    </row>
    <row r="139" spans="1:8">
      <c r="A139" s="16">
        <v>42278</v>
      </c>
      <c r="B139">
        <v>51.064979999999998</v>
      </c>
      <c r="C139" s="1">
        <f t="shared" si="5"/>
        <v>7.2119343421385818E-2</v>
      </c>
      <c r="D139" s="28">
        <v>263.55</v>
      </c>
      <c r="E139" s="1">
        <f t="shared" si="6"/>
        <v>8.528249052874326E-2</v>
      </c>
      <c r="F139" s="1">
        <f t="shared" si="7"/>
        <v>-1.3163147107357442E-2</v>
      </c>
      <c r="G139" s="2"/>
      <c r="H139" s="2"/>
    </row>
    <row r="140" spans="1:8">
      <c r="A140" s="16">
        <v>42309</v>
      </c>
      <c r="B140">
        <v>51.082661000000002</v>
      </c>
      <c r="C140" s="1">
        <f t="shared" si="5"/>
        <v>3.4624511749536957E-4</v>
      </c>
      <c r="D140" s="29">
        <v>258.61</v>
      </c>
      <c r="E140" s="1">
        <f t="shared" si="6"/>
        <v>-1.8744071333712808E-2</v>
      </c>
      <c r="F140" s="1">
        <f t="shared" si="7"/>
        <v>1.9090316451208178E-2</v>
      </c>
      <c r="G140" s="2"/>
      <c r="H140" s="2"/>
    </row>
    <row r="141" spans="1:8">
      <c r="A141" s="16">
        <v>42339</v>
      </c>
      <c r="B141">
        <v>50.109997</v>
      </c>
      <c r="C141" s="1">
        <f t="shared" si="5"/>
        <v>-1.9040981439866655E-2</v>
      </c>
      <c r="D141" s="28">
        <v>259.29000000000002</v>
      </c>
      <c r="E141" s="1">
        <f t="shared" si="6"/>
        <v>2.6294420169368227E-3</v>
      </c>
      <c r="F141" s="1">
        <f t="shared" si="7"/>
        <v>-2.1670423456803478E-2</v>
      </c>
      <c r="G141" s="2">
        <v>-2.5818000000000004E-3</v>
      </c>
      <c r="H141" s="2">
        <v>2.6484026850685401E-2</v>
      </c>
    </row>
    <row r="142" spans="1:8">
      <c r="A142" s="16">
        <v>42370</v>
      </c>
      <c r="B142">
        <v>47.647953000000001</v>
      </c>
      <c r="C142" s="1">
        <f t="shared" ref="C142:C194" si="8">(B142/B141)-1</f>
        <v>-4.9132790808189442E-2</v>
      </c>
      <c r="D142" s="29">
        <v>238.45</v>
      </c>
      <c r="E142" s="1">
        <f t="shared" si="6"/>
        <v>-8.0373327162636565E-2</v>
      </c>
      <c r="F142" s="1">
        <f t="shared" si="7"/>
        <v>3.1240536354447124E-2</v>
      </c>
      <c r="G142" s="2"/>
      <c r="H142" s="2"/>
    </row>
    <row r="143" spans="1:8">
      <c r="A143" s="16">
        <v>42401</v>
      </c>
      <c r="B143">
        <v>45.975940999999999</v>
      </c>
      <c r="C143" s="1">
        <f t="shared" si="8"/>
        <v>-3.5090951336356535E-2</v>
      </c>
      <c r="D143" s="29">
        <v>233.57</v>
      </c>
      <c r="E143" s="1">
        <f t="shared" si="6"/>
        <v>-2.0465506395470734E-2</v>
      </c>
      <c r="F143" s="1">
        <f t="shared" si="7"/>
        <v>-1.4625444940885801E-2</v>
      </c>
      <c r="G143" s="2"/>
      <c r="H143" s="2"/>
    </row>
    <row r="144" spans="1:8">
      <c r="A144" s="16">
        <v>42430</v>
      </c>
      <c r="B144">
        <v>49.418323999999998</v>
      </c>
      <c r="C144" s="1">
        <f t="shared" si="8"/>
        <v>7.4873573550131356E-2</v>
      </c>
      <c r="D144" s="28">
        <v>252.87</v>
      </c>
      <c r="E144" s="1">
        <f t="shared" si="6"/>
        <v>8.263047480412733E-2</v>
      </c>
      <c r="F144" s="1">
        <f t="shared" si="7"/>
        <v>-7.7569012539959736E-3</v>
      </c>
      <c r="G144" s="2">
        <v>6.9925999999999999E-3</v>
      </c>
      <c r="H144" s="2">
        <v>2.6916175339656498E-2</v>
      </c>
    </row>
    <row r="145" spans="1:8">
      <c r="A145" s="16">
        <v>42461</v>
      </c>
      <c r="B145">
        <v>49.756317000000003</v>
      </c>
      <c r="C145" s="1">
        <f t="shared" si="8"/>
        <v>6.8394266062119513E-3</v>
      </c>
      <c r="D145" s="28">
        <v>257.63</v>
      </c>
      <c r="E145" s="1">
        <f t="shared" si="6"/>
        <v>1.8823901609522631E-2</v>
      </c>
      <c r="F145" s="1">
        <f t="shared" si="7"/>
        <v>-1.1984475003310679E-2</v>
      </c>
      <c r="G145" s="2"/>
      <c r="H145" s="2"/>
    </row>
    <row r="146" spans="1:8">
      <c r="A146" s="16">
        <v>42491</v>
      </c>
      <c r="B146">
        <v>50.284973000000001</v>
      </c>
      <c r="C146" s="1">
        <f t="shared" si="8"/>
        <v>1.0624902160664362E-2</v>
      </c>
      <c r="D146" s="29">
        <v>253.71</v>
      </c>
      <c r="E146" s="1">
        <f t="shared" si="6"/>
        <v>-1.521561929899462E-2</v>
      </c>
      <c r="F146" s="1">
        <f t="shared" si="7"/>
        <v>2.5840521459658983E-2</v>
      </c>
      <c r="G146" s="2"/>
      <c r="H146" s="2"/>
    </row>
    <row r="147" spans="1:8">
      <c r="A147" s="16">
        <v>42522</v>
      </c>
      <c r="B147">
        <v>49.935516</v>
      </c>
      <c r="C147" s="1">
        <f t="shared" si="8"/>
        <v>-6.9495314236323047E-3</v>
      </c>
      <c r="D147" s="29">
        <v>253.38</v>
      </c>
      <c r="E147" s="1">
        <f t="shared" si="6"/>
        <v>-1.3006976469197573E-3</v>
      </c>
      <c r="F147" s="1">
        <f t="shared" si="7"/>
        <v>-5.6488337767125474E-3</v>
      </c>
      <c r="G147" s="2">
        <v>-1.5329E-3</v>
      </c>
      <c r="H147" s="2">
        <v>3.2825914436187799E-2</v>
      </c>
    </row>
    <row r="148" spans="1:8">
      <c r="A148" s="16">
        <v>42552</v>
      </c>
      <c r="B148">
        <v>53.252636000000003</v>
      </c>
      <c r="C148" s="1">
        <f t="shared" si="8"/>
        <v>6.6428070954548613E-2</v>
      </c>
      <c r="D148" s="28">
        <v>268.38</v>
      </c>
      <c r="E148" s="1">
        <f t="shared" si="6"/>
        <v>5.9199621122424828E-2</v>
      </c>
      <c r="F148" s="1">
        <f t="shared" si="7"/>
        <v>7.2284498321237844E-3</v>
      </c>
      <c r="G148" s="2"/>
      <c r="H148" s="2"/>
    </row>
    <row r="149" spans="1:8">
      <c r="A149" s="16">
        <v>42583</v>
      </c>
      <c r="B149">
        <v>53.352027999999997</v>
      </c>
      <c r="C149" s="1">
        <f t="shared" si="8"/>
        <v>1.8664240395536158E-3</v>
      </c>
      <c r="D149" s="28">
        <v>270.82</v>
      </c>
      <c r="E149" s="1">
        <f t="shared" si="6"/>
        <v>9.0915865563752085E-3</v>
      </c>
      <c r="F149" s="1">
        <f t="shared" si="7"/>
        <v>-7.2251625168215927E-3</v>
      </c>
      <c r="G149" s="2"/>
      <c r="H149" s="2"/>
    </row>
    <row r="150" spans="1:8">
      <c r="A150" s="16">
        <v>42614</v>
      </c>
      <c r="B150">
        <v>54.734389999999998</v>
      </c>
      <c r="C150" s="1">
        <f t="shared" si="8"/>
        <v>2.5910205325278435E-2</v>
      </c>
      <c r="D150" s="28">
        <v>273.88</v>
      </c>
      <c r="E150" s="1">
        <f t="shared" ref="E150:E194" si="9">D150/D149-1</f>
        <v>1.1299017797799182E-2</v>
      </c>
      <c r="F150" s="1">
        <f t="shared" ref="F150:F194" si="10">C150-E150</f>
        <v>1.4611187527479252E-2</v>
      </c>
      <c r="G150" s="2">
        <v>1.6414999999999999E-3</v>
      </c>
      <c r="H150" s="2">
        <v>2.3514241635773397E-2</v>
      </c>
    </row>
    <row r="151" spans="1:8">
      <c r="A151" s="16">
        <v>42644</v>
      </c>
      <c r="B151">
        <v>54.422820999999999</v>
      </c>
      <c r="C151" s="1">
        <f t="shared" si="8"/>
        <v>-5.6923809692589478E-3</v>
      </c>
      <c r="D151" s="29">
        <v>273.20999999999998</v>
      </c>
      <c r="E151" s="1">
        <f t="shared" si="9"/>
        <v>-2.4463268584782316E-3</v>
      </c>
      <c r="F151" s="1">
        <f t="shared" si="10"/>
        <v>-3.2460541107807162E-3</v>
      </c>
      <c r="G151" s="2"/>
      <c r="H151" s="2"/>
    </row>
    <row r="152" spans="1:8">
      <c r="A152" s="16">
        <v>42675</v>
      </c>
      <c r="B152">
        <v>53.679302</v>
      </c>
      <c r="C152" s="1">
        <f t="shared" si="8"/>
        <v>-1.3661897460258476E-2</v>
      </c>
      <c r="D152" s="29">
        <v>266.89</v>
      </c>
      <c r="E152" s="1">
        <f t="shared" si="9"/>
        <v>-2.3132389004794862E-2</v>
      </c>
      <c r="F152" s="1">
        <f t="shared" si="10"/>
        <v>9.4704915445363858E-3</v>
      </c>
      <c r="G152" s="2"/>
      <c r="H152" s="2"/>
    </row>
    <row r="153" spans="1:8">
      <c r="A153" s="16">
        <v>42705</v>
      </c>
      <c r="B153">
        <v>52.700015999999998</v>
      </c>
      <c r="C153" s="1">
        <f t="shared" si="8"/>
        <v>-1.8243270003771683E-2</v>
      </c>
      <c r="D153" s="29">
        <v>266.39999999999998</v>
      </c>
      <c r="E153" s="1">
        <f t="shared" si="9"/>
        <v>-1.8359623815055182E-3</v>
      </c>
      <c r="F153" s="1">
        <f t="shared" si="10"/>
        <v>-1.6407307622266165E-2</v>
      </c>
      <c r="G153" s="2">
        <v>2.8644999999999999E-3</v>
      </c>
      <c r="H153" s="2">
        <v>2.7813395858329502E-2</v>
      </c>
    </row>
    <row r="154" spans="1:8">
      <c r="A154" s="16">
        <v>42736</v>
      </c>
      <c r="B154">
        <v>56.002158999999999</v>
      </c>
      <c r="C154" s="1">
        <f t="shared" si="8"/>
        <v>6.265924093837083E-2</v>
      </c>
      <c r="D154" s="28">
        <v>278.85000000000002</v>
      </c>
      <c r="E154" s="1">
        <f t="shared" si="9"/>
        <v>4.6734234234234506E-2</v>
      </c>
      <c r="F154" s="1">
        <f t="shared" si="10"/>
        <v>1.5925006704136324E-2</v>
      </c>
      <c r="G154" s="2"/>
      <c r="H154" s="2"/>
    </row>
    <row r="155" spans="1:8">
      <c r="A155" s="16">
        <v>42767</v>
      </c>
      <c r="B155">
        <v>57.205219</v>
      </c>
      <c r="C155" s="1">
        <f t="shared" si="8"/>
        <v>2.1482386063008674E-2</v>
      </c>
      <c r="D155" s="28">
        <v>285.87</v>
      </c>
      <c r="E155" s="1">
        <f t="shared" si="9"/>
        <v>2.5174825174825166E-2</v>
      </c>
      <c r="F155" s="1">
        <f t="shared" si="10"/>
        <v>-3.6924391118164923E-3</v>
      </c>
      <c r="G155" s="2"/>
      <c r="H155" s="2"/>
    </row>
    <row r="156" spans="1:8">
      <c r="A156" s="16">
        <v>42795</v>
      </c>
      <c r="B156">
        <v>58.114403000000003</v>
      </c>
      <c r="C156" s="1">
        <f t="shared" si="8"/>
        <v>1.5893375043280589E-2</v>
      </c>
      <c r="D156" s="28">
        <v>289.24</v>
      </c>
      <c r="E156" s="1">
        <f t="shared" si="9"/>
        <v>1.1788575226501674E-2</v>
      </c>
      <c r="F156" s="1">
        <f t="shared" si="10"/>
        <v>4.1047998167789146E-3</v>
      </c>
      <c r="G156" s="2">
        <v>7.2167000000000004E-3</v>
      </c>
      <c r="H156" s="2">
        <v>2.2169019198474998E-2</v>
      </c>
    </row>
    <row r="157" spans="1:8">
      <c r="A157" s="16">
        <v>42826</v>
      </c>
      <c r="B157">
        <v>58.673423999999997</v>
      </c>
      <c r="C157" s="1">
        <f t="shared" si="8"/>
        <v>9.6193193277747113E-3</v>
      </c>
      <c r="D157" s="28">
        <v>292.72000000000003</v>
      </c>
      <c r="E157" s="1">
        <f t="shared" si="9"/>
        <v>1.2031530908588106E-2</v>
      </c>
      <c r="F157" s="1">
        <f t="shared" si="10"/>
        <v>-2.4122115808133948E-3</v>
      </c>
      <c r="G157" s="2"/>
      <c r="H157" s="2"/>
    </row>
    <row r="158" spans="1:8">
      <c r="A158" s="16">
        <v>42856</v>
      </c>
      <c r="B158">
        <v>59.970936000000002</v>
      </c>
      <c r="C158" s="1">
        <f t="shared" si="8"/>
        <v>2.2114134671942898E-2</v>
      </c>
      <c r="D158" s="28">
        <v>299.52</v>
      </c>
      <c r="E158" s="1">
        <f t="shared" si="9"/>
        <v>2.3230390817162938E-2</v>
      </c>
      <c r="F158" s="1">
        <f t="shared" si="10"/>
        <v>-1.1162561452200404E-3</v>
      </c>
      <c r="G158" s="2"/>
      <c r="H158" s="2"/>
    </row>
    <row r="159" spans="1:8">
      <c r="A159" s="16">
        <v>42887</v>
      </c>
      <c r="B159">
        <v>60.550682000000002</v>
      </c>
      <c r="C159" s="1">
        <f t="shared" si="8"/>
        <v>9.6671160843646575E-3</v>
      </c>
      <c r="D159" s="28">
        <v>302.77</v>
      </c>
      <c r="E159" s="1">
        <f t="shared" si="9"/>
        <v>1.085069444444442E-2</v>
      </c>
      <c r="F159" s="1">
        <f t="shared" si="10"/>
        <v>-1.1835783600797622E-3</v>
      </c>
      <c r="G159" s="2">
        <v>4.4841999999999998E-3</v>
      </c>
      <c r="H159" s="2">
        <v>2.1262021289060601E-2</v>
      </c>
    </row>
    <row r="160" spans="1:8">
      <c r="A160" s="16">
        <v>42917</v>
      </c>
      <c r="B160">
        <v>62.681865999999999</v>
      </c>
      <c r="C160" s="1">
        <f t="shared" si="8"/>
        <v>3.5196696876180544E-2</v>
      </c>
      <c r="D160" s="28">
        <v>312.76</v>
      </c>
      <c r="E160" s="1">
        <f t="shared" si="9"/>
        <v>3.2995342999636801E-2</v>
      </c>
      <c r="F160" s="1">
        <f t="shared" si="10"/>
        <v>2.2013538765437435E-3</v>
      </c>
      <c r="G160" s="2"/>
      <c r="H160" s="2"/>
    </row>
    <row r="161" spans="1:8">
      <c r="A161" s="16">
        <v>42948</v>
      </c>
      <c r="B161">
        <v>62.783833000000001</v>
      </c>
      <c r="C161" s="1">
        <f t="shared" si="8"/>
        <v>1.6267384254322614E-3</v>
      </c>
      <c r="D161" s="28">
        <v>313.7</v>
      </c>
      <c r="E161" s="1">
        <f t="shared" si="9"/>
        <v>3.005499424478808E-3</v>
      </c>
      <c r="F161" s="1">
        <f t="shared" si="10"/>
        <v>-1.3787609990465466E-3</v>
      </c>
      <c r="G161" s="2"/>
      <c r="H161" s="2"/>
    </row>
    <row r="162" spans="1:8">
      <c r="A162" s="16">
        <v>42979</v>
      </c>
      <c r="B162">
        <v>63.228859</v>
      </c>
      <c r="C162" s="1">
        <f t="shared" si="8"/>
        <v>7.0882260406113229E-3</v>
      </c>
      <c r="D162" s="28">
        <v>314.14</v>
      </c>
      <c r="E162" s="1">
        <f t="shared" si="9"/>
        <v>1.4026139623843914E-3</v>
      </c>
      <c r="F162" s="1">
        <f t="shared" si="10"/>
        <v>5.6856120782269315E-3</v>
      </c>
      <c r="G162" s="2">
        <v>1.0933999999999999E-2</v>
      </c>
      <c r="H162" s="2">
        <v>3.0013363269456601E-2</v>
      </c>
    </row>
    <row r="163" spans="1:8">
      <c r="A163" s="16">
        <v>43009</v>
      </c>
      <c r="B163">
        <v>66.243080000000006</v>
      </c>
      <c r="C163" s="1">
        <f t="shared" si="8"/>
        <v>4.767160198162057E-2</v>
      </c>
      <c r="D163" s="28">
        <v>327.72</v>
      </c>
      <c r="E163" s="1">
        <f t="shared" si="9"/>
        <v>4.3229133507353579E-2</v>
      </c>
      <c r="F163" s="1">
        <f t="shared" si="10"/>
        <v>4.4424684742669918E-3</v>
      </c>
      <c r="G163" s="2"/>
      <c r="H163" s="2"/>
    </row>
    <row r="164" spans="1:8">
      <c r="A164" s="16">
        <v>43040</v>
      </c>
      <c r="B164">
        <v>67.006523000000001</v>
      </c>
      <c r="C164" s="1">
        <f t="shared" si="8"/>
        <v>1.1524871729998054E-2</v>
      </c>
      <c r="D164" s="28">
        <v>332.61</v>
      </c>
      <c r="E164" s="1">
        <f t="shared" si="9"/>
        <v>1.4921274258513417E-2</v>
      </c>
      <c r="F164" s="1">
        <f t="shared" si="10"/>
        <v>-3.3964025285153632E-3</v>
      </c>
      <c r="G164" s="2"/>
      <c r="H164" s="2"/>
    </row>
    <row r="165" spans="1:8">
      <c r="A165" s="16">
        <v>43070</v>
      </c>
      <c r="B165">
        <v>67.872390999999993</v>
      </c>
      <c r="C165" s="1">
        <f t="shared" si="8"/>
        <v>1.2922144908190436E-2</v>
      </c>
      <c r="D165" s="28">
        <v>339.73</v>
      </c>
      <c r="E165" s="1">
        <f t="shared" si="9"/>
        <v>2.1406452000841902E-2</v>
      </c>
      <c r="F165" s="1">
        <f t="shared" si="10"/>
        <v>-8.4843070926514663E-3</v>
      </c>
      <c r="G165" s="2">
        <v>3.3889000000000002E-3</v>
      </c>
      <c r="H165" s="2">
        <v>2.4971094660253698E-2</v>
      </c>
    </row>
    <row r="166" spans="1:8">
      <c r="A166" s="16">
        <v>43101</v>
      </c>
      <c r="B166">
        <v>72.036652000000004</v>
      </c>
      <c r="C166" s="1">
        <f t="shared" si="8"/>
        <v>6.1354269956395147E-2</v>
      </c>
      <c r="D166" s="28">
        <v>358.9</v>
      </c>
      <c r="E166" s="1">
        <f t="shared" si="9"/>
        <v>5.6427162746887083E-2</v>
      </c>
      <c r="F166" s="1">
        <f t="shared" si="10"/>
        <v>4.9271072095080637E-3</v>
      </c>
      <c r="G166" s="2"/>
      <c r="H166" s="2"/>
    </row>
    <row r="167" spans="1:8">
      <c r="A167" s="16">
        <v>43132</v>
      </c>
      <c r="B167">
        <v>69.149918</v>
      </c>
      <c r="C167" s="1">
        <f t="shared" si="8"/>
        <v>-4.0073128329173424E-2</v>
      </c>
      <c r="D167" s="29">
        <v>346.24</v>
      </c>
      <c r="E167" s="1">
        <f t="shared" si="9"/>
        <v>-3.5274449707439315E-2</v>
      </c>
      <c r="F167" s="1">
        <f t="shared" si="10"/>
        <v>-4.7986786217341093E-3</v>
      </c>
      <c r="G167" s="2"/>
      <c r="H167" s="2"/>
    </row>
    <row r="168" spans="1:8">
      <c r="A168" s="16">
        <v>43160</v>
      </c>
      <c r="B168">
        <v>68.819716999999997</v>
      </c>
      <c r="C168" s="1">
        <f t="shared" si="8"/>
        <v>-4.7751466603330739E-3</v>
      </c>
      <c r="D168" s="29">
        <v>337.1</v>
      </c>
      <c r="E168" s="1">
        <f t="shared" si="9"/>
        <v>-2.6397874306839153E-2</v>
      </c>
      <c r="F168" s="1">
        <f t="shared" si="10"/>
        <v>2.1622727646506079E-2</v>
      </c>
      <c r="G168" s="2">
        <v>-6.3251000000000002E-3</v>
      </c>
      <c r="H168" s="2">
        <v>3.0739583818981502E-2</v>
      </c>
    </row>
    <row r="169" spans="1:8">
      <c r="A169" s="16">
        <v>43191</v>
      </c>
      <c r="B169">
        <v>69.167357999999993</v>
      </c>
      <c r="C169" s="1">
        <f t="shared" si="8"/>
        <v>5.0514738385221136E-3</v>
      </c>
      <c r="D169" s="28">
        <v>339.96</v>
      </c>
      <c r="E169" s="1">
        <f t="shared" si="9"/>
        <v>8.4841293384751992E-3</v>
      </c>
      <c r="F169" s="1">
        <f t="shared" si="10"/>
        <v>-3.4326554999530856E-3</v>
      </c>
      <c r="G169" s="2"/>
      <c r="H169" s="2"/>
    </row>
    <row r="170" spans="1:8">
      <c r="A170" s="16">
        <v>43221</v>
      </c>
      <c r="B170">
        <v>68.402007999999995</v>
      </c>
      <c r="C170" s="1">
        <f t="shared" si="8"/>
        <v>-1.106519060623945E-2</v>
      </c>
      <c r="D170" s="29">
        <v>335.76</v>
      </c>
      <c r="E170" s="1">
        <f t="shared" si="9"/>
        <v>-1.2354394634662924E-2</v>
      </c>
      <c r="F170" s="1">
        <f t="shared" si="10"/>
        <v>1.289204028423474E-3</v>
      </c>
      <c r="G170" s="2"/>
      <c r="H170" s="2"/>
    </row>
    <row r="171" spans="1:8">
      <c r="A171" s="16">
        <v>43252</v>
      </c>
      <c r="B171">
        <v>66.124770999999996</v>
      </c>
      <c r="C171" s="1">
        <f t="shared" si="8"/>
        <v>-3.3291961253535174E-2</v>
      </c>
      <c r="D171" s="29">
        <v>323.67</v>
      </c>
      <c r="E171" s="1">
        <f t="shared" si="9"/>
        <v>-3.6007862759113607E-2</v>
      </c>
      <c r="F171" s="1">
        <f t="shared" si="10"/>
        <v>2.715901505578433E-3</v>
      </c>
      <c r="G171" s="2">
        <v>2.7560000000000002E-3</v>
      </c>
      <c r="H171" s="2">
        <v>3.1864475588660998E-2</v>
      </c>
    </row>
    <row r="172" spans="1:8">
      <c r="A172" s="16">
        <v>43282</v>
      </c>
      <c r="B172">
        <v>67.151047000000005</v>
      </c>
      <c r="C172" s="1">
        <f t="shared" si="8"/>
        <v>1.5520295714899435E-2</v>
      </c>
      <c r="D172" s="28">
        <v>326.02</v>
      </c>
      <c r="E172" s="1">
        <f t="shared" si="9"/>
        <v>7.2604813544658864E-3</v>
      </c>
      <c r="F172" s="1">
        <f t="shared" si="10"/>
        <v>8.2598143604335483E-3</v>
      </c>
      <c r="G172" s="2"/>
      <c r="H172" s="2"/>
    </row>
    <row r="173" spans="1:8">
      <c r="A173" s="16">
        <v>43313</v>
      </c>
      <c r="B173">
        <v>66.513237000000004</v>
      </c>
      <c r="C173" s="1">
        <f t="shared" si="8"/>
        <v>-9.49813932164012E-3</v>
      </c>
      <c r="D173" s="29">
        <v>323.19</v>
      </c>
      <c r="E173" s="1">
        <f t="shared" si="9"/>
        <v>-8.6804490522053301E-3</v>
      </c>
      <c r="F173" s="1">
        <f t="shared" si="10"/>
        <v>-8.1769026943478984E-4</v>
      </c>
      <c r="G173" s="2"/>
      <c r="H173" s="2"/>
    </row>
    <row r="174" spans="1:8">
      <c r="A174" s="16">
        <v>43344</v>
      </c>
      <c r="B174">
        <v>67.684134999999998</v>
      </c>
      <c r="C174" s="1">
        <f t="shared" si="8"/>
        <v>1.7603984602343026E-2</v>
      </c>
      <c r="D174" s="29">
        <v>323.10000000000002</v>
      </c>
      <c r="E174" s="1">
        <f t="shared" si="9"/>
        <v>-2.7847396268443347E-4</v>
      </c>
      <c r="F174" s="1">
        <f t="shared" si="10"/>
        <v>1.7882458565027459E-2</v>
      </c>
      <c r="G174" s="2">
        <v>-6.3514999999999995E-3</v>
      </c>
      <c r="H174" s="2">
        <v>2.5039150975334299E-2</v>
      </c>
    </row>
    <row r="175" spans="1:8">
      <c r="A175" s="16">
        <v>43374</v>
      </c>
      <c r="B175">
        <v>61.192661000000001</v>
      </c>
      <c r="C175" s="1">
        <f t="shared" si="8"/>
        <v>-9.5908354298980036E-2</v>
      </c>
      <c r="D175" s="29">
        <v>291.92</v>
      </c>
      <c r="E175" s="1">
        <f t="shared" si="9"/>
        <v>-9.6502630764469188E-2</v>
      </c>
      <c r="F175" s="1">
        <f t="shared" si="10"/>
        <v>5.9427646548915192E-4</v>
      </c>
      <c r="G175" s="2"/>
      <c r="H175" s="2"/>
    </row>
    <row r="176" spans="1:8">
      <c r="A176" s="16">
        <v>43405</v>
      </c>
      <c r="B176">
        <v>62.673290000000001</v>
      </c>
      <c r="C176" s="1">
        <f t="shared" si="8"/>
        <v>2.4196185879218346E-2</v>
      </c>
      <c r="D176" s="28">
        <v>299.88</v>
      </c>
      <c r="E176" s="1">
        <f t="shared" si="9"/>
        <v>2.7267744587558207E-2</v>
      </c>
      <c r="F176" s="1">
        <f t="shared" si="10"/>
        <v>-3.071558708339861E-3</v>
      </c>
      <c r="G176" s="2"/>
      <c r="H176" s="2"/>
    </row>
    <row r="177" spans="1:8">
      <c r="A177" s="16">
        <v>43435</v>
      </c>
      <c r="B177">
        <v>57.916195000000002</v>
      </c>
      <c r="C177" s="1">
        <f t="shared" si="8"/>
        <v>-7.5903068117215478E-2</v>
      </c>
      <c r="D177" s="29">
        <v>286.18</v>
      </c>
      <c r="E177" s="1">
        <f t="shared" si="9"/>
        <v>-4.5684940642923832E-2</v>
      </c>
      <c r="F177" s="1">
        <f t="shared" si="10"/>
        <v>-3.0218127474291645E-2</v>
      </c>
      <c r="G177" s="2">
        <v>1.4205999999999999E-3</v>
      </c>
      <c r="H177" s="2">
        <v>2.16980229869068E-2</v>
      </c>
    </row>
    <row r="178" spans="1:8">
      <c r="A178" s="16">
        <v>43466</v>
      </c>
      <c r="B178">
        <v>63.210182000000003</v>
      </c>
      <c r="C178" s="1">
        <f t="shared" si="8"/>
        <v>9.1407714198075363E-2</v>
      </c>
      <c r="D178" s="28">
        <v>305.2</v>
      </c>
      <c r="E178" s="1">
        <f t="shared" si="9"/>
        <v>6.6461667482004216E-2</v>
      </c>
      <c r="F178" s="1">
        <f t="shared" si="10"/>
        <v>2.4946046716071146E-2</v>
      </c>
      <c r="G178" s="2"/>
      <c r="H178" s="2"/>
    </row>
    <row r="179" spans="1:8">
      <c r="A179" s="16">
        <v>43497</v>
      </c>
      <c r="B179">
        <v>63.753928999999999</v>
      </c>
      <c r="C179" s="1">
        <f t="shared" si="8"/>
        <v>8.6022058914494437E-3</v>
      </c>
      <c r="D179" s="28">
        <v>308.99</v>
      </c>
      <c r="E179" s="1">
        <f t="shared" si="9"/>
        <v>1.2418086500655345E-2</v>
      </c>
      <c r="F179" s="1">
        <f t="shared" si="10"/>
        <v>-3.8158806092059017E-3</v>
      </c>
      <c r="G179" s="2"/>
      <c r="H179" s="2"/>
    </row>
    <row r="180" spans="1:8">
      <c r="A180" s="16">
        <v>43525</v>
      </c>
      <c r="B180">
        <v>63.948120000000003</v>
      </c>
      <c r="C180" s="1">
        <f t="shared" si="8"/>
        <v>3.0459456075249136E-3</v>
      </c>
      <c r="D180" s="28">
        <v>311.02999999999997</v>
      </c>
      <c r="E180" s="1">
        <f t="shared" si="9"/>
        <v>6.6021554095601065E-3</v>
      </c>
      <c r="F180" s="1">
        <f t="shared" si="10"/>
        <v>-3.5562098020351929E-3</v>
      </c>
      <c r="G180" s="2">
        <v>1.13813E-2</v>
      </c>
      <c r="H180" s="2">
        <v>1.7496096063755399E-2</v>
      </c>
    </row>
    <row r="181" spans="1:8">
      <c r="A181" s="16">
        <v>43556</v>
      </c>
      <c r="B181">
        <v>64.859679999999997</v>
      </c>
      <c r="C181" s="1">
        <f t="shared" si="8"/>
        <v>1.4254680200137093E-2</v>
      </c>
      <c r="D181" s="28">
        <v>315.68</v>
      </c>
      <c r="E181" s="1">
        <f t="shared" si="9"/>
        <v>1.4950326335080311E-2</v>
      </c>
      <c r="F181" s="1">
        <f t="shared" si="10"/>
        <v>-6.9564613494321748E-4</v>
      </c>
      <c r="G181" s="2"/>
      <c r="H181" s="2"/>
    </row>
    <row r="182" spans="1:8">
      <c r="A182" s="16">
        <v>43586</v>
      </c>
      <c r="B182">
        <v>61.620102000000003</v>
      </c>
      <c r="C182" s="1">
        <f t="shared" si="8"/>
        <v>-4.9947486635764982E-2</v>
      </c>
      <c r="D182" s="29">
        <v>296.94</v>
      </c>
      <c r="E182" s="1">
        <f t="shared" si="9"/>
        <v>-5.9363912823112042E-2</v>
      </c>
      <c r="F182" s="1">
        <f t="shared" si="10"/>
        <v>9.4164261873470601E-3</v>
      </c>
      <c r="G182" s="2"/>
      <c r="H182" s="2"/>
    </row>
    <row r="183" spans="1:8">
      <c r="A183" s="16">
        <v>43617</v>
      </c>
      <c r="B183">
        <v>64.285697999999996</v>
      </c>
      <c r="C183" s="1">
        <f t="shared" si="8"/>
        <v>4.3258545725873621E-2</v>
      </c>
      <c r="D183" s="28">
        <v>311.20999999999998</v>
      </c>
      <c r="E183" s="1">
        <f t="shared" si="9"/>
        <v>4.8056846500976524E-2</v>
      </c>
      <c r="F183" s="1">
        <f t="shared" si="10"/>
        <v>-4.7983007751029039E-3</v>
      </c>
      <c r="G183" s="2">
        <v>6.1685000000000004E-3</v>
      </c>
      <c r="H183" s="2">
        <v>1.6184350637409799E-2</v>
      </c>
    </row>
    <row r="184" spans="1:8">
      <c r="A184" s="16">
        <v>43647</v>
      </c>
      <c r="B184">
        <v>63.878407000000003</v>
      </c>
      <c r="C184" s="1">
        <f t="shared" si="8"/>
        <v>-6.3356393828063462E-3</v>
      </c>
      <c r="D184" s="29">
        <v>307.92</v>
      </c>
      <c r="E184" s="1">
        <f t="shared" si="9"/>
        <v>-1.0571639728800375E-2</v>
      </c>
      <c r="F184" s="1">
        <f t="shared" si="10"/>
        <v>4.2360003459940287E-3</v>
      </c>
      <c r="G184" s="2"/>
      <c r="H184" s="2"/>
    </row>
    <row r="185" spans="1:8">
      <c r="A185" s="16">
        <v>43678</v>
      </c>
      <c r="B185">
        <v>62.240504999999999</v>
      </c>
      <c r="C185" s="1">
        <f t="shared" si="8"/>
        <v>-2.5640933719590198E-2</v>
      </c>
      <c r="D185" s="29">
        <v>297.73</v>
      </c>
      <c r="E185" s="1">
        <f t="shared" si="9"/>
        <v>-3.3093011171732911E-2</v>
      </c>
      <c r="F185" s="1">
        <f t="shared" si="10"/>
        <v>7.4520774521427136E-3</v>
      </c>
      <c r="G185" s="2"/>
      <c r="H185" s="2"/>
    </row>
    <row r="186" spans="1:8">
      <c r="A186" s="16">
        <v>43709</v>
      </c>
      <c r="B186">
        <v>64.780738999999997</v>
      </c>
      <c r="C186" s="1">
        <f t="shared" si="8"/>
        <v>4.081319712942566E-2</v>
      </c>
      <c r="D186" s="28">
        <v>304.29000000000002</v>
      </c>
      <c r="E186" s="1">
        <f t="shared" si="9"/>
        <v>2.2033385953716511E-2</v>
      </c>
      <c r="F186" s="1">
        <f t="shared" si="10"/>
        <v>1.8779811175709149E-2</v>
      </c>
      <c r="G186" s="2">
        <v>4.0439999999999999E-3</v>
      </c>
      <c r="H186" s="2">
        <v>1.82311365481445E-2</v>
      </c>
    </row>
    <row r="187" spans="1:8">
      <c r="A187" s="16">
        <v>43739</v>
      </c>
      <c r="B187">
        <v>67.143310999999997</v>
      </c>
      <c r="C187" s="1">
        <f t="shared" si="8"/>
        <v>3.6470284786346729E-2</v>
      </c>
      <c r="D187" s="28">
        <v>317.41000000000003</v>
      </c>
      <c r="E187" s="1">
        <f t="shared" si="9"/>
        <v>4.3116763613658016E-2</v>
      </c>
      <c r="F187" s="1">
        <f t="shared" si="10"/>
        <v>-6.6464788273112863E-3</v>
      </c>
      <c r="G187" s="2"/>
      <c r="H187" s="2"/>
    </row>
    <row r="188" spans="1:8">
      <c r="A188" s="16">
        <v>43770</v>
      </c>
      <c r="B188">
        <v>67.891639999999995</v>
      </c>
      <c r="C188" s="1">
        <f t="shared" si="8"/>
        <v>1.1145250194766199E-2</v>
      </c>
      <c r="D188" s="28">
        <v>318.86</v>
      </c>
      <c r="E188" s="1">
        <f t="shared" si="9"/>
        <v>4.5682240635140925E-3</v>
      </c>
      <c r="F188" s="1">
        <f t="shared" si="10"/>
        <v>6.5770261312521061E-3</v>
      </c>
      <c r="G188" s="2"/>
      <c r="H188" s="2"/>
    </row>
    <row r="189" spans="1:8">
      <c r="A189" s="16">
        <v>43800</v>
      </c>
      <c r="B189">
        <v>68.511977999999999</v>
      </c>
      <c r="C189" s="1">
        <f t="shared" si="8"/>
        <v>9.1371780089566368E-3</v>
      </c>
      <c r="D189" s="28">
        <v>331.83</v>
      </c>
      <c r="E189" s="1">
        <f t="shared" si="9"/>
        <v>4.0676158815781127E-2</v>
      </c>
      <c r="F189" s="1">
        <f t="shared" si="10"/>
        <v>-3.153898080682449E-2</v>
      </c>
      <c r="G189" s="2">
        <v>-1.5418599999999999E-2</v>
      </c>
      <c r="H189" s="2">
        <v>2.1928602274975399E-2</v>
      </c>
    </row>
    <row r="190" spans="1:8">
      <c r="A190" s="16">
        <v>43831</v>
      </c>
      <c r="B190">
        <v>67.063796999999994</v>
      </c>
      <c r="C190" s="1">
        <f t="shared" si="8"/>
        <v>-2.1137632312995036E-2</v>
      </c>
      <c r="D190" s="29">
        <v>322.07</v>
      </c>
      <c r="E190" s="1">
        <f t="shared" si="9"/>
        <v>-2.9412651056263672E-2</v>
      </c>
      <c r="F190" s="1">
        <f t="shared" si="10"/>
        <v>8.2750187432686362E-3</v>
      </c>
      <c r="G190" s="2"/>
      <c r="H190" s="2"/>
    </row>
    <row r="191" spans="1:8">
      <c r="A191" s="16">
        <v>43862</v>
      </c>
      <c r="B191">
        <v>62.084999000000003</v>
      </c>
      <c r="C191" s="1">
        <f t="shared" si="8"/>
        <v>-7.4239727285348778E-2</v>
      </c>
      <c r="D191" s="29">
        <v>301.52</v>
      </c>
      <c r="E191" s="1">
        <f t="shared" si="9"/>
        <v>-6.3806004905765823E-2</v>
      </c>
      <c r="F191" s="1">
        <f t="shared" si="10"/>
        <v>-1.0433722379582955E-2</v>
      </c>
      <c r="G191" s="2"/>
      <c r="H191" s="2"/>
    </row>
    <row r="192" spans="1:8">
      <c r="A192" s="16">
        <v>43891</v>
      </c>
      <c r="B192">
        <v>55.146678999999999</v>
      </c>
      <c r="C192" s="1">
        <f t="shared" si="8"/>
        <v>-0.11175517615777053</v>
      </c>
      <c r="D192" s="29">
        <v>264.95999999999998</v>
      </c>
      <c r="E192" s="1">
        <f t="shared" si="9"/>
        <v>-0.12125232157070842</v>
      </c>
      <c r="F192" s="1">
        <f t="shared" si="10"/>
        <v>9.4971454129378907E-3</v>
      </c>
      <c r="G192" s="2">
        <v>-4.8782000000000001E-3</v>
      </c>
      <c r="H192" s="2"/>
    </row>
    <row r="193" spans="1:8">
      <c r="A193" s="16">
        <v>43922</v>
      </c>
      <c r="B193">
        <v>58.639999000000003</v>
      </c>
      <c r="C193" s="1">
        <f t="shared" si="8"/>
        <v>6.3345972293272768E-2</v>
      </c>
      <c r="D193" s="28">
        <v>286.98</v>
      </c>
      <c r="E193" s="1">
        <f t="shared" si="9"/>
        <v>8.3106884057971175E-2</v>
      </c>
      <c r="F193" s="1">
        <f t="shared" si="10"/>
        <v>-1.9760911764698408E-2</v>
      </c>
      <c r="G193" s="1"/>
      <c r="H193" s="1"/>
    </row>
    <row r="194" spans="1:8">
      <c r="A194" s="16">
        <v>43952</v>
      </c>
      <c r="B194">
        <v>62.189999</v>
      </c>
      <c r="C194" s="1">
        <f t="shared" si="8"/>
        <v>6.0538882342068279E-2</v>
      </c>
      <c r="D194" s="28">
        <v>293.47000000000003</v>
      </c>
      <c r="E194" s="1">
        <f t="shared" si="9"/>
        <v>2.2614816363509593E-2</v>
      </c>
      <c r="F194" s="1">
        <f t="shared" si="10"/>
        <v>3.7924065978558685E-2</v>
      </c>
      <c r="G194" s="1"/>
      <c r="H194" s="1"/>
    </row>
  </sheetData>
  <autoFilter ref="A11:H194" xr:uid="{C80BEA91-5D73-694D-9EAE-2A8DE31A0C1A}"/>
  <conditionalFormatting sqref="C1:C5">
    <cfRule type="cellIs" dxfId="123" priority="15" operator="lessThan">
      <formula>0</formula>
    </cfRule>
    <cfRule type="cellIs" dxfId="122" priority="16" operator="greaterThan">
      <formula>0</formula>
    </cfRule>
  </conditionalFormatting>
  <conditionalFormatting sqref="E1:F5">
    <cfRule type="cellIs" dxfId="121" priority="13" operator="lessThan">
      <formula>0</formula>
    </cfRule>
    <cfRule type="cellIs" dxfId="120" priority="14" operator="greaterThan">
      <formula>0</formula>
    </cfRule>
  </conditionalFormatting>
  <conditionalFormatting sqref="G1:G5">
    <cfRule type="cellIs" dxfId="119" priority="11" operator="lessThan">
      <formula>0</formula>
    </cfRule>
    <cfRule type="cellIs" dxfId="118" priority="12" operator="greaterThan">
      <formula>0</formula>
    </cfRule>
  </conditionalFormatting>
  <conditionalFormatting sqref="C12:C194">
    <cfRule type="cellIs" dxfId="117" priority="9" operator="lessThan">
      <formula>0</formula>
    </cfRule>
    <cfRule type="cellIs" dxfId="116" priority="10" operator="greaterThan">
      <formula>0</formula>
    </cfRule>
  </conditionalFormatting>
  <conditionalFormatting sqref="E12:F194">
    <cfRule type="cellIs" dxfId="115" priority="7" operator="lessThan">
      <formula>0</formula>
    </cfRule>
    <cfRule type="cellIs" dxfId="114" priority="8" operator="greaterThan">
      <formula>0</formula>
    </cfRule>
  </conditionalFormatting>
  <conditionalFormatting sqref="G12:G194">
    <cfRule type="cellIs" dxfId="113" priority="5" operator="lessThan">
      <formula>0</formula>
    </cfRule>
    <cfRule type="cellIs" dxfId="112" priority="6" operator="greaterThan">
      <formula>0</formula>
    </cfRule>
  </conditionalFormatting>
  <conditionalFormatting sqref="H12:H194">
    <cfRule type="cellIs" dxfId="111" priority="3" operator="lessThan">
      <formula>0</formula>
    </cfRule>
    <cfRule type="cellIs" dxfId="110" priority="4" operator="greaterThan">
      <formula>0</formula>
    </cfRule>
  </conditionalFormatting>
  <conditionalFormatting sqref="M40:M43">
    <cfRule type="cellIs" dxfId="109" priority="1" operator="lessThan">
      <formula>0</formula>
    </cfRule>
    <cfRule type="cellIs" dxfId="108" priority="2" operator="greaterThan">
      <formula>0</formula>
    </cfRule>
  </conditionalFormatting>
  <hyperlinks>
    <hyperlink ref="B3" r:id="rId1" xr:uid="{27ED1505-8493-A748-97A7-8F74D5E1D65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020C5-C87A-F541-995E-812EB53471AA}">
  <dimension ref="A1:Y194"/>
  <sheetViews>
    <sheetView workbookViewId="0">
      <pane ySplit="11" topLeftCell="A23" activePane="bottomLeft" state="frozen"/>
      <selection pane="bottomLeft" activeCell="A3" sqref="A3"/>
    </sheetView>
  </sheetViews>
  <sheetFormatPr baseColWidth="10" defaultRowHeight="16"/>
  <cols>
    <col min="10" max="10" width="21.1640625" bestFit="1" customWidth="1"/>
    <col min="11" max="11" width="16.332031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1E-3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99</v>
      </c>
      <c r="B3" s="8" t="s">
        <v>100</v>
      </c>
      <c r="C3" s="1"/>
      <c r="E3" s="1"/>
      <c r="F3" s="1"/>
      <c r="G3" s="9" t="s">
        <v>13</v>
      </c>
      <c r="H3" s="9">
        <f>SUBTOTAL(1,C13:C241)</f>
        <v>4.1128835327194409E-3</v>
      </c>
      <c r="J3" s="3" t="s">
        <v>14</v>
      </c>
      <c r="K3" s="10">
        <v>4.9757119593353973E-2</v>
      </c>
      <c r="L3" s="3">
        <v>99</v>
      </c>
      <c r="M3" s="9">
        <f>L3/$K$38</f>
        <v>0.54395604395604391</v>
      </c>
      <c r="N3" s="10">
        <f>K3*M3</f>
        <v>2.7065685932648586E-2</v>
      </c>
      <c r="P3" s="4" t="s">
        <v>15</v>
      </c>
      <c r="Q3" s="11">
        <f>$K$26+$K$30</f>
        <v>7.0602890602815285E-2</v>
      </c>
      <c r="R3" s="11">
        <f>$K$26+$K$30*2</f>
        <v>0.13709289767291113</v>
      </c>
      <c r="S3" s="11">
        <f>$K$26+$K$30*3</f>
        <v>0.203582904743007</v>
      </c>
      <c r="T3" s="6"/>
      <c r="U3" s="5">
        <v>1</v>
      </c>
      <c r="V3" s="5">
        <v>133</v>
      </c>
      <c r="W3" s="12">
        <f>Y3*$K$38</f>
        <v>124.12400000000001</v>
      </c>
      <c r="X3" s="13">
        <f>V3/$K$38</f>
        <v>0.73076923076923073</v>
      </c>
      <c r="Y3" s="13">
        <v>0.68200000000000005</v>
      </c>
    </row>
    <row r="4" spans="1:25">
      <c r="A4" t="s">
        <v>101</v>
      </c>
      <c r="C4" s="1"/>
      <c r="E4" s="1"/>
      <c r="F4" s="1"/>
      <c r="G4" s="9" t="s">
        <v>16</v>
      </c>
      <c r="H4" s="14">
        <f>SUBTOTAL(2,C13:C241)</f>
        <v>182</v>
      </c>
      <c r="J4" s="3" t="s">
        <v>17</v>
      </c>
      <c r="K4" s="10">
        <v>-5.0330241407073574E-2</v>
      </c>
      <c r="L4" s="3">
        <v>83</v>
      </c>
      <c r="M4" s="9">
        <f>L4/$K$38</f>
        <v>0.45604395604395603</v>
      </c>
      <c r="N4" s="10">
        <f>K4*M4</f>
        <v>-2.2952802399929157E-2</v>
      </c>
      <c r="P4" s="4" t="s">
        <v>18</v>
      </c>
      <c r="Q4" s="11">
        <f>$K$26-$K$30</f>
        <v>-6.2377123537376407E-2</v>
      </c>
      <c r="R4" s="11">
        <f>$K$26-$K$30*2</f>
        <v>-0.12886713060747226</v>
      </c>
      <c r="S4" s="11">
        <f>$K$26-$K$30*3</f>
        <v>-0.19535713767756813</v>
      </c>
      <c r="T4" s="6"/>
      <c r="U4" s="5">
        <v>2</v>
      </c>
      <c r="V4" s="5">
        <v>175</v>
      </c>
      <c r="W4" s="12">
        <f>Y4*$K$38</f>
        <v>173.62799999999999</v>
      </c>
      <c r="X4" s="13">
        <f>V4/$K$38</f>
        <v>0.96153846153846156</v>
      </c>
      <c r="Y4" s="13">
        <v>0.95399999999999996</v>
      </c>
    </row>
    <row r="5" spans="1:25">
      <c r="A5" t="s">
        <v>65</v>
      </c>
      <c r="C5" s="1"/>
      <c r="E5" s="1"/>
      <c r="F5" s="1"/>
      <c r="G5" s="1"/>
      <c r="J5" s="3" t="s">
        <v>19</v>
      </c>
      <c r="K5" s="3"/>
      <c r="L5" s="27">
        <f>K38-L4-$L$3</f>
        <v>0</v>
      </c>
      <c r="M5" s="3"/>
      <c r="N5" s="3"/>
      <c r="P5" s="6"/>
      <c r="Q5" s="6"/>
      <c r="R5" s="6"/>
      <c r="S5" s="6"/>
      <c r="T5" s="6"/>
      <c r="U5" s="5">
        <v>3</v>
      </c>
      <c r="V5" s="5">
        <v>180</v>
      </c>
      <c r="W5" s="12">
        <f>Y5*$K$38</f>
        <v>181.636</v>
      </c>
      <c r="X5" s="13">
        <f>V5/$K$38</f>
        <v>0.98901098901098905</v>
      </c>
      <c r="Y5" s="13">
        <v>0.998</v>
      </c>
    </row>
    <row r="6" spans="1:25">
      <c r="A6" t="s">
        <v>117</v>
      </c>
      <c r="C6" s="1"/>
      <c r="E6" s="1"/>
      <c r="F6" s="1"/>
      <c r="G6" s="1"/>
    </row>
    <row r="7" spans="1:25">
      <c r="A7" t="s">
        <v>385</v>
      </c>
      <c r="C7" s="1"/>
      <c r="E7" s="1"/>
      <c r="F7" s="1"/>
      <c r="G7" s="1"/>
      <c r="P7" s="6"/>
      <c r="Q7" s="6"/>
      <c r="R7" s="6"/>
      <c r="S7" s="6"/>
      <c r="T7" s="6"/>
      <c r="U7" s="6"/>
      <c r="V7" s="6"/>
      <c r="W7" s="6"/>
      <c r="X7" s="6"/>
      <c r="Y7" s="6"/>
    </row>
    <row r="8" spans="1:25">
      <c r="C8" s="1"/>
      <c r="E8" s="1"/>
      <c r="F8" s="1"/>
      <c r="G8" s="1"/>
      <c r="P8" s="6"/>
      <c r="Q8" s="6"/>
      <c r="R8" s="6"/>
      <c r="S8" s="6"/>
      <c r="T8" s="6"/>
      <c r="U8" s="6"/>
      <c r="V8" s="6"/>
      <c r="W8" s="6"/>
      <c r="X8" s="6"/>
      <c r="Y8" s="6"/>
    </row>
    <row r="11" spans="1:25">
      <c r="A11" s="15" t="s">
        <v>20</v>
      </c>
      <c r="B11" s="15" t="s">
        <v>21</v>
      </c>
      <c r="C11" s="15" t="s">
        <v>22</v>
      </c>
      <c r="D11" s="15" t="s">
        <v>102</v>
      </c>
      <c r="E11" s="15" t="s">
        <v>103</v>
      </c>
      <c r="F11" s="15" t="s">
        <v>104</v>
      </c>
      <c r="G11" s="15" t="s">
        <v>105</v>
      </c>
    </row>
    <row r="12" spans="1:25">
      <c r="A12" s="16">
        <v>38412</v>
      </c>
      <c r="B12" s="17">
        <v>25.15</v>
      </c>
      <c r="E12" s="1"/>
      <c r="F12" s="1"/>
      <c r="G12" s="2">
        <v>4.0219999999999996E-4</v>
      </c>
      <c r="J12" s="3" t="s">
        <v>27</v>
      </c>
      <c r="K12" s="3" t="s">
        <v>28</v>
      </c>
      <c r="L12" s="18" t="s">
        <v>29</v>
      </c>
      <c r="M12" s="18" t="s">
        <v>3</v>
      </c>
    </row>
    <row r="13" spans="1:25">
      <c r="A13" s="16">
        <v>38443</v>
      </c>
      <c r="B13" s="17">
        <v>24.059999000000001</v>
      </c>
      <c r="C13" s="1">
        <f>(B13/B12)-1</f>
        <v>-4.3339999999999934E-2</v>
      </c>
      <c r="E13" s="1"/>
      <c r="F13" s="1"/>
      <c r="G13" s="2"/>
      <c r="J13" s="19">
        <v>-0.25</v>
      </c>
      <c r="K13" s="19">
        <v>-0.25</v>
      </c>
      <c r="L13" s="3" t="s">
        <v>106</v>
      </c>
      <c r="M13" s="3">
        <v>1</v>
      </c>
    </row>
    <row r="14" spans="1:25">
      <c r="A14" s="16">
        <v>38473</v>
      </c>
      <c r="B14" s="17">
        <v>23.1</v>
      </c>
      <c r="C14" s="1">
        <f t="shared" ref="C14:C77" si="0">(B14/B13)-1</f>
        <v>-3.9900209472161663E-2</v>
      </c>
      <c r="E14" s="1"/>
      <c r="F14" s="1"/>
      <c r="G14" s="2"/>
      <c r="J14" s="19">
        <v>-0.2</v>
      </c>
      <c r="K14" s="19">
        <v>-0.2</v>
      </c>
      <c r="L14" s="21" t="s">
        <v>107</v>
      </c>
      <c r="M14" s="3">
        <v>0</v>
      </c>
    </row>
    <row r="15" spans="1:25">
      <c r="A15" s="16">
        <v>38504</v>
      </c>
      <c r="B15" s="17">
        <v>23.5</v>
      </c>
      <c r="C15" s="1">
        <f t="shared" si="0"/>
        <v>1.7316017316017174E-2</v>
      </c>
      <c r="E15" s="1"/>
      <c r="F15" s="1"/>
      <c r="G15" s="2"/>
      <c r="J15" s="19">
        <v>-0.15</v>
      </c>
      <c r="K15" s="19">
        <v>-0.15</v>
      </c>
      <c r="L15" s="22" t="s">
        <v>73</v>
      </c>
      <c r="M15" s="3">
        <v>3</v>
      </c>
    </row>
    <row r="16" spans="1:25">
      <c r="A16" s="16">
        <v>38534</v>
      </c>
      <c r="B16" s="17">
        <v>24.774999999999999</v>
      </c>
      <c r="C16" s="1">
        <f t="shared" si="0"/>
        <v>5.425531914893611E-2</v>
      </c>
      <c r="E16" s="1"/>
      <c r="F16" s="1"/>
      <c r="G16" s="2"/>
      <c r="J16" s="19">
        <v>-0.1</v>
      </c>
      <c r="K16" s="19">
        <v>-0.1</v>
      </c>
      <c r="L16" s="22" t="s">
        <v>31</v>
      </c>
      <c r="M16" s="3">
        <v>7</v>
      </c>
    </row>
    <row r="17" spans="1:13">
      <c r="A17" s="16">
        <v>38565</v>
      </c>
      <c r="B17" s="17">
        <v>26.58</v>
      </c>
      <c r="C17" s="1">
        <f t="shared" si="0"/>
        <v>7.2855701311806298E-2</v>
      </c>
      <c r="E17" s="1"/>
      <c r="F17" s="1"/>
      <c r="G17" s="2"/>
      <c r="J17" s="19">
        <v>-0.05</v>
      </c>
      <c r="K17" s="19">
        <v>-0.05</v>
      </c>
      <c r="L17" s="22" t="s">
        <v>32</v>
      </c>
      <c r="M17" s="3">
        <v>17</v>
      </c>
    </row>
    <row r="18" spans="1:13">
      <c r="A18" s="16">
        <v>38596</v>
      </c>
      <c r="B18" s="17">
        <v>26.805</v>
      </c>
      <c r="C18" s="1">
        <f t="shared" si="0"/>
        <v>8.4650112866817562E-3</v>
      </c>
      <c r="E18" s="1"/>
      <c r="F18" s="1"/>
      <c r="G18" s="2"/>
      <c r="J18" s="19">
        <v>0</v>
      </c>
      <c r="K18" s="19">
        <v>0</v>
      </c>
      <c r="L18" s="22" t="s">
        <v>33</v>
      </c>
      <c r="M18" s="3">
        <v>55</v>
      </c>
    </row>
    <row r="19" spans="1:13">
      <c r="A19" s="16">
        <v>38626</v>
      </c>
      <c r="B19" s="17">
        <v>28.764999</v>
      </c>
      <c r="C19" s="1">
        <f t="shared" si="0"/>
        <v>7.3120649132624616E-2</v>
      </c>
      <c r="E19" s="1"/>
      <c r="F19" s="1"/>
      <c r="G19" s="2"/>
      <c r="J19" s="19">
        <v>0.05</v>
      </c>
      <c r="K19" s="19">
        <v>0.05</v>
      </c>
      <c r="L19" s="19" t="s">
        <v>34</v>
      </c>
      <c r="M19" s="3">
        <v>55</v>
      </c>
    </row>
    <row r="20" spans="1:13">
      <c r="A20" s="16">
        <v>38657</v>
      </c>
      <c r="B20" s="17">
        <v>27.389999</v>
      </c>
      <c r="C20" s="1">
        <f t="shared" si="0"/>
        <v>-4.7801148889315082E-2</v>
      </c>
      <c r="D20" s="33">
        <v>1244.44</v>
      </c>
      <c r="E20" s="1"/>
      <c r="F20" s="1"/>
      <c r="G20" s="2"/>
      <c r="J20" s="19">
        <v>0.1</v>
      </c>
      <c r="K20" s="19">
        <v>0.1</v>
      </c>
      <c r="L20" s="19" t="s">
        <v>35</v>
      </c>
      <c r="M20" s="3">
        <v>35</v>
      </c>
    </row>
    <row r="21" spans="1:13">
      <c r="A21" s="16">
        <v>38687</v>
      </c>
      <c r="B21" s="17">
        <v>29.344999000000001</v>
      </c>
      <c r="C21" s="1">
        <f t="shared" si="0"/>
        <v>7.1376417355838662E-2</v>
      </c>
      <c r="D21" s="33">
        <v>1223.06</v>
      </c>
      <c r="E21" s="1">
        <f>D21/D20-1</f>
        <v>-1.7180418501494765E-2</v>
      </c>
      <c r="F21" s="1">
        <f>C21-E21</f>
        <v>8.8556835857333427E-2</v>
      </c>
      <c r="G21" s="2"/>
      <c r="J21" s="19">
        <v>0.15</v>
      </c>
      <c r="K21" s="19">
        <v>0.15</v>
      </c>
      <c r="L21" s="19" t="s">
        <v>36</v>
      </c>
      <c r="M21" s="3">
        <v>6</v>
      </c>
    </row>
    <row r="22" spans="1:13">
      <c r="A22" s="16">
        <v>38718</v>
      </c>
      <c r="B22" s="17">
        <v>31.139999</v>
      </c>
      <c r="C22" s="1">
        <f t="shared" si="0"/>
        <v>6.1168855381456888E-2</v>
      </c>
      <c r="D22" s="33">
        <v>1125.43</v>
      </c>
      <c r="E22" s="1">
        <f t="shared" ref="E22:E85" si="1">D22/D21-1</f>
        <v>-7.9824374928458064E-2</v>
      </c>
      <c r="F22" s="1">
        <f t="shared" ref="F22:F85" si="2">C22-E22</f>
        <v>0.14099323030991495</v>
      </c>
      <c r="G22" s="2"/>
      <c r="J22" s="19">
        <v>0.2</v>
      </c>
      <c r="K22" s="19">
        <v>0.2</v>
      </c>
      <c r="L22" s="3" t="s">
        <v>108</v>
      </c>
      <c r="M22" s="3">
        <v>2</v>
      </c>
    </row>
    <row r="23" spans="1:13">
      <c r="A23" s="16">
        <v>38749</v>
      </c>
      <c r="B23" s="17">
        <v>33.994999</v>
      </c>
      <c r="C23" s="1">
        <f t="shared" si="0"/>
        <v>9.168272612982431E-2</v>
      </c>
      <c r="D23" s="34">
        <v>1126.07</v>
      </c>
      <c r="E23" s="1">
        <f t="shared" si="1"/>
        <v>5.6867152999284798E-4</v>
      </c>
      <c r="F23" s="1">
        <f t="shared" si="2"/>
        <v>9.1114054599831462E-2</v>
      </c>
      <c r="G23" s="2"/>
      <c r="J23" s="3"/>
      <c r="K23" s="3" t="s">
        <v>37</v>
      </c>
      <c r="L23" s="3" t="s">
        <v>109</v>
      </c>
      <c r="M23" s="3">
        <v>1</v>
      </c>
    </row>
    <row r="24" spans="1:13">
      <c r="A24" s="16">
        <v>38777</v>
      </c>
      <c r="B24" s="17">
        <v>33.685001</v>
      </c>
      <c r="C24" s="1">
        <f t="shared" si="0"/>
        <v>-9.1189295225453382E-3</v>
      </c>
      <c r="D24" s="33">
        <v>1268.81</v>
      </c>
      <c r="E24" s="1">
        <f t="shared" si="1"/>
        <v>0.12675943769037445</v>
      </c>
      <c r="F24" s="1">
        <f t="shared" si="2"/>
        <v>-0.13587836721291979</v>
      </c>
      <c r="G24" s="2"/>
    </row>
    <row r="25" spans="1:13">
      <c r="A25" s="16">
        <v>38808</v>
      </c>
      <c r="B25" s="17">
        <v>34.134998000000003</v>
      </c>
      <c r="C25" s="1">
        <f t="shared" si="0"/>
        <v>1.3358972439988959E-2</v>
      </c>
      <c r="D25" s="33">
        <v>1275.21</v>
      </c>
      <c r="E25" s="1">
        <f t="shared" si="1"/>
        <v>5.0440964368188013E-3</v>
      </c>
      <c r="F25" s="1">
        <f t="shared" si="2"/>
        <v>8.3148760031701574E-3</v>
      </c>
      <c r="G25" s="2"/>
      <c r="J25" s="23" t="s">
        <v>110</v>
      </c>
    </row>
    <row r="26" spans="1:13">
      <c r="A26" s="16">
        <v>38838</v>
      </c>
      <c r="B26" s="17">
        <v>36.525002000000001</v>
      </c>
      <c r="C26" s="1">
        <f t="shared" si="0"/>
        <v>7.0016233778598558E-2</v>
      </c>
      <c r="D26" s="34">
        <v>1229.27</v>
      </c>
      <c r="E26" s="1">
        <f t="shared" si="1"/>
        <v>-3.6025438947310695E-2</v>
      </c>
      <c r="F26" s="1">
        <f t="shared" si="2"/>
        <v>0.10604167272590925</v>
      </c>
      <c r="G26" s="2"/>
      <c r="J26" s="3" t="s">
        <v>40</v>
      </c>
      <c r="K26" s="24">
        <v>4.1128835327194409E-3</v>
      </c>
    </row>
    <row r="27" spans="1:13">
      <c r="A27" s="16">
        <v>38869</v>
      </c>
      <c r="B27" s="17">
        <v>32.200001</v>
      </c>
      <c r="C27" s="1">
        <f t="shared" si="0"/>
        <v>-0.11841206743807986</v>
      </c>
      <c r="D27" s="34">
        <v>1272.81</v>
      </c>
      <c r="E27" s="1">
        <f t="shared" si="1"/>
        <v>3.5419395250839925E-2</v>
      </c>
      <c r="F27" s="1">
        <f t="shared" si="2"/>
        <v>-0.15383146268891978</v>
      </c>
      <c r="G27" s="2"/>
      <c r="J27" s="3" t="s">
        <v>41</v>
      </c>
      <c r="K27" s="24">
        <v>4.9285672305500331E-3</v>
      </c>
    </row>
    <row r="28" spans="1:13">
      <c r="A28" s="16">
        <v>38899</v>
      </c>
      <c r="B28" s="17">
        <v>32</v>
      </c>
      <c r="C28" s="1">
        <f t="shared" si="0"/>
        <v>-6.2112109872294319E-3</v>
      </c>
      <c r="D28" s="34">
        <v>1328.5</v>
      </c>
      <c r="E28" s="1">
        <f t="shared" si="1"/>
        <v>4.3753584588430261E-2</v>
      </c>
      <c r="F28" s="1">
        <f t="shared" si="2"/>
        <v>-4.9964795575659693E-2</v>
      </c>
      <c r="G28" s="2"/>
      <c r="J28" s="3" t="s">
        <v>42</v>
      </c>
      <c r="K28" s="24">
        <v>8.082361181121045E-3</v>
      </c>
    </row>
    <row r="29" spans="1:13">
      <c r="A29" s="16">
        <v>38930</v>
      </c>
      <c r="B29" s="17">
        <v>32.5</v>
      </c>
      <c r="C29" s="1">
        <f t="shared" si="0"/>
        <v>1.5625E-2</v>
      </c>
      <c r="D29" s="33">
        <v>1351.53</v>
      </c>
      <c r="E29" s="1">
        <f t="shared" si="1"/>
        <v>1.7335340609710093E-2</v>
      </c>
      <c r="F29" s="1">
        <f t="shared" si="2"/>
        <v>-1.7103406097100926E-3</v>
      </c>
      <c r="G29" s="2"/>
      <c r="J29" s="3" t="s">
        <v>43</v>
      </c>
      <c r="K29" s="3" t="e">
        <v>#N/A</v>
      </c>
    </row>
    <row r="30" spans="1:13">
      <c r="A30" s="16">
        <v>38961</v>
      </c>
      <c r="B30" s="17">
        <v>33.259998000000003</v>
      </c>
      <c r="C30" s="1">
        <f t="shared" si="0"/>
        <v>2.3384553846153899E-2</v>
      </c>
      <c r="D30" s="34">
        <v>1359.24</v>
      </c>
      <c r="E30" s="1">
        <f t="shared" si="1"/>
        <v>5.7046458458192006E-3</v>
      </c>
      <c r="F30" s="1">
        <f t="shared" si="2"/>
        <v>1.7679908000334699E-2</v>
      </c>
      <c r="G30" s="2"/>
      <c r="J30" s="3" t="s">
        <v>44</v>
      </c>
      <c r="K30" s="24">
        <v>6.649000707009585E-2</v>
      </c>
    </row>
    <row r="31" spans="1:13">
      <c r="A31" s="16">
        <v>38991</v>
      </c>
      <c r="B31" s="17">
        <v>33.715000000000003</v>
      </c>
      <c r="C31" s="1">
        <f t="shared" si="0"/>
        <v>1.368015716657589E-2</v>
      </c>
      <c r="D31" s="33">
        <v>1375.24</v>
      </c>
      <c r="E31" s="1">
        <f t="shared" si="1"/>
        <v>1.1771283952797251E-2</v>
      </c>
      <c r="F31" s="1">
        <f t="shared" si="2"/>
        <v>1.9088732137786391E-3</v>
      </c>
      <c r="G31" s="2"/>
      <c r="J31" s="3" t="s">
        <v>45</v>
      </c>
      <c r="K31" s="24">
        <v>4.4209210401813968E-3</v>
      </c>
    </row>
    <row r="32" spans="1:13">
      <c r="A32" s="16">
        <v>39022</v>
      </c>
      <c r="B32" s="17">
        <v>35.639999000000003</v>
      </c>
      <c r="C32" s="1">
        <f t="shared" si="0"/>
        <v>5.7096218300459745E-2</v>
      </c>
      <c r="D32" s="33">
        <v>1313.93</v>
      </c>
      <c r="E32" s="1">
        <f t="shared" si="1"/>
        <v>-4.4581309444169714E-2</v>
      </c>
      <c r="F32" s="1">
        <f t="shared" si="2"/>
        <v>0.10167752774462946</v>
      </c>
      <c r="G32" s="2"/>
      <c r="J32" s="3" t="s">
        <v>46</v>
      </c>
      <c r="K32" s="25">
        <v>1.8029530343268809</v>
      </c>
    </row>
    <row r="33" spans="1:13">
      <c r="A33" s="16">
        <v>39052</v>
      </c>
      <c r="B33" s="17">
        <v>37.994999</v>
      </c>
      <c r="C33" s="1">
        <f t="shared" si="0"/>
        <v>6.6077442931465669E-2</v>
      </c>
      <c r="D33" s="33">
        <v>1314.74</v>
      </c>
      <c r="E33" s="1">
        <f t="shared" si="1"/>
        <v>6.1647119709573595E-4</v>
      </c>
      <c r="F33" s="1">
        <f t="shared" si="2"/>
        <v>6.5460971734369933E-2</v>
      </c>
      <c r="G33" s="2">
        <v>0.12719</v>
      </c>
      <c r="J33" s="3" t="s">
        <v>47</v>
      </c>
      <c r="K33" s="25">
        <v>-0.37078411393926253</v>
      </c>
    </row>
    <row r="34" spans="1:13">
      <c r="A34" s="16">
        <v>39083</v>
      </c>
      <c r="B34" s="17">
        <v>39.134998000000003</v>
      </c>
      <c r="C34" s="1">
        <f t="shared" si="0"/>
        <v>3.0003922358308399E-2</v>
      </c>
      <c r="D34" s="33">
        <v>1373.98</v>
      </c>
      <c r="E34" s="1">
        <f t="shared" si="1"/>
        <v>4.5058338530812092E-2</v>
      </c>
      <c r="F34" s="1">
        <f t="shared" si="2"/>
        <v>-1.5054416172503693E-2</v>
      </c>
      <c r="G34" s="2"/>
      <c r="J34" s="3" t="s">
        <v>48</v>
      </c>
      <c r="K34" s="24">
        <v>0.47052811836654185</v>
      </c>
    </row>
    <row r="35" spans="1:13">
      <c r="A35" s="16">
        <v>39114</v>
      </c>
      <c r="B35" s="17">
        <v>38.959999000000003</v>
      </c>
      <c r="C35" s="1">
        <f t="shared" si="0"/>
        <v>-4.4716751997789794E-3</v>
      </c>
      <c r="D35" s="33">
        <v>1420.27</v>
      </c>
      <c r="E35" s="1">
        <f t="shared" si="1"/>
        <v>3.3690446731393431E-2</v>
      </c>
      <c r="F35" s="1">
        <f t="shared" si="2"/>
        <v>-3.816212193117241E-2</v>
      </c>
      <c r="G35" s="2"/>
      <c r="J35" s="3" t="s">
        <v>49</v>
      </c>
      <c r="K35" s="24">
        <v>-0.26043795620437959</v>
      </c>
    </row>
    <row r="36" spans="1:13">
      <c r="A36" s="16">
        <v>39142</v>
      </c>
      <c r="B36" s="17">
        <v>37.244999</v>
      </c>
      <c r="C36" s="1">
        <f t="shared" si="0"/>
        <v>-4.4019508316722522E-2</v>
      </c>
      <c r="D36" s="33">
        <v>1443.01</v>
      </c>
      <c r="E36" s="1">
        <f t="shared" si="1"/>
        <v>1.6011040154336964E-2</v>
      </c>
      <c r="F36" s="1">
        <f>C36-E36</f>
        <v>-6.0030548471059486E-2</v>
      </c>
      <c r="G36" s="2"/>
      <c r="J36" s="3" t="s">
        <v>50</v>
      </c>
      <c r="K36" s="24">
        <v>0.21009016216216225</v>
      </c>
    </row>
    <row r="37" spans="1:13">
      <c r="A37" s="16">
        <v>39173</v>
      </c>
      <c r="B37" s="17">
        <v>39.509998000000003</v>
      </c>
      <c r="C37" s="1">
        <f t="shared" si="0"/>
        <v>6.0813506801275619E-2</v>
      </c>
      <c r="D37" s="33">
        <v>1463.95</v>
      </c>
      <c r="E37" s="1">
        <f t="shared" si="1"/>
        <v>1.4511333947789806E-2</v>
      </c>
      <c r="F37" s="1">
        <f t="shared" si="2"/>
        <v>4.6302172853485812E-2</v>
      </c>
      <c r="G37" s="2"/>
      <c r="J37" s="3" t="s">
        <v>51</v>
      </c>
      <c r="K37" s="25">
        <v>0.74854480295493819</v>
      </c>
    </row>
    <row r="38" spans="1:13">
      <c r="A38" s="16">
        <v>39203</v>
      </c>
      <c r="B38" s="17">
        <v>41.255001</v>
      </c>
      <c r="C38" s="1">
        <f t="shared" si="0"/>
        <v>4.4166112081301501E-2</v>
      </c>
      <c r="D38" s="33">
        <v>1479.19</v>
      </c>
      <c r="E38" s="1">
        <f t="shared" si="1"/>
        <v>1.0410191604904639E-2</v>
      </c>
      <c r="F38" s="1">
        <f t="shared" si="2"/>
        <v>3.3755920476396861E-2</v>
      </c>
      <c r="G38" s="2"/>
      <c r="J38" s="3" t="s">
        <v>16</v>
      </c>
      <c r="K38" s="3">
        <v>182</v>
      </c>
    </row>
    <row r="39" spans="1:13">
      <c r="A39" s="16">
        <v>39234</v>
      </c>
      <c r="B39" s="17">
        <v>44.259998000000003</v>
      </c>
      <c r="C39" s="1">
        <f t="shared" si="0"/>
        <v>7.2839581315244706E-2</v>
      </c>
      <c r="D39" s="33">
        <v>1483.24</v>
      </c>
      <c r="E39" s="1">
        <f t="shared" si="1"/>
        <v>2.7379849782651622E-3</v>
      </c>
      <c r="F39" s="1">
        <f t="shared" si="2"/>
        <v>7.0101596336979544E-2</v>
      </c>
      <c r="G39" s="2"/>
    </row>
    <row r="40" spans="1:13">
      <c r="A40" s="16">
        <v>39264</v>
      </c>
      <c r="B40" s="17">
        <v>46.220001000000003</v>
      </c>
      <c r="C40" s="1">
        <f t="shared" si="0"/>
        <v>4.4283847459731129E-2</v>
      </c>
      <c r="D40" s="33">
        <v>1554.8</v>
      </c>
      <c r="E40" s="1">
        <f t="shared" si="1"/>
        <v>4.8245732315741252E-2</v>
      </c>
      <c r="F40" s="1">
        <f t="shared" si="2"/>
        <v>-3.9618848560101227E-3</v>
      </c>
      <c r="G40" s="2"/>
      <c r="J40" s="3" t="s">
        <v>75</v>
      </c>
      <c r="K40" s="3" t="s">
        <v>111</v>
      </c>
      <c r="L40" s="3" t="s">
        <v>54</v>
      </c>
      <c r="M40" s="3" t="s">
        <v>55</v>
      </c>
    </row>
    <row r="41" spans="1:13">
      <c r="A41" s="16">
        <v>39295</v>
      </c>
      <c r="B41" s="17">
        <v>46.509998000000003</v>
      </c>
      <c r="C41" s="1">
        <f t="shared" si="0"/>
        <v>6.2742750697906136E-3</v>
      </c>
      <c r="D41" s="34">
        <v>1596.56</v>
      </c>
      <c r="E41" s="1">
        <f t="shared" si="1"/>
        <v>2.6858759969127899E-2</v>
      </c>
      <c r="F41" s="1">
        <f t="shared" si="2"/>
        <v>-2.0584484899337285E-2</v>
      </c>
      <c r="G41" s="2"/>
      <c r="J41" s="3" t="s">
        <v>56</v>
      </c>
      <c r="K41" s="9">
        <v>-4.8899999999999999E-2</v>
      </c>
      <c r="L41" s="9">
        <v>0.15540000000000001</v>
      </c>
      <c r="M41" s="9">
        <f>K41-L41</f>
        <v>-0.20430000000000001</v>
      </c>
    </row>
    <row r="42" spans="1:13">
      <c r="A42" s="16">
        <v>39326</v>
      </c>
      <c r="B42" s="17">
        <v>46.18</v>
      </c>
      <c r="C42" s="1">
        <f t="shared" si="0"/>
        <v>-7.0952056372912686E-3</v>
      </c>
      <c r="D42" s="33">
        <v>1579.67</v>
      </c>
      <c r="E42" s="1">
        <f t="shared" si="1"/>
        <v>-1.0578994838903566E-2</v>
      </c>
      <c r="F42" s="1">
        <f t="shared" si="2"/>
        <v>3.4837892016122973E-3</v>
      </c>
      <c r="G42" s="2"/>
      <c r="J42" s="3" t="s">
        <v>57</v>
      </c>
      <c r="K42" s="9">
        <v>-5.0000000000000001E-4</v>
      </c>
      <c r="L42" s="9">
        <v>-2.18E-2</v>
      </c>
      <c r="M42" s="9">
        <f>K42-L42</f>
        <v>2.1299999999999999E-2</v>
      </c>
    </row>
    <row r="43" spans="1:13">
      <c r="A43" s="16">
        <v>39356</v>
      </c>
      <c r="B43" s="17">
        <v>52.465000000000003</v>
      </c>
      <c r="C43" s="1">
        <f t="shared" si="0"/>
        <v>0.13609787786920746</v>
      </c>
      <c r="D43" s="33">
        <v>1619.5</v>
      </c>
      <c r="E43" s="1">
        <f t="shared" si="1"/>
        <v>2.5214127001209174E-2</v>
      </c>
      <c r="F43" s="1">
        <f t="shared" si="2"/>
        <v>0.11088375086799829</v>
      </c>
      <c r="G43" s="2"/>
      <c r="J43" s="3" t="s">
        <v>58</v>
      </c>
      <c r="K43" s="9">
        <v>3.0000000000000001E-3</v>
      </c>
      <c r="L43" s="9">
        <v>1.6500000000000001E-2</v>
      </c>
      <c r="M43" s="9">
        <f>K43-L43</f>
        <v>-1.3500000000000002E-2</v>
      </c>
    </row>
    <row r="44" spans="1:13">
      <c r="A44" s="16">
        <v>39387</v>
      </c>
      <c r="B44" s="17">
        <v>57.125</v>
      </c>
      <c r="C44" s="1">
        <f t="shared" si="0"/>
        <v>8.8821118841132085E-2</v>
      </c>
      <c r="D44" s="34">
        <v>1621.63</v>
      </c>
      <c r="E44" s="1">
        <f t="shared" si="1"/>
        <v>1.3152207471442967E-3</v>
      </c>
      <c r="F44" s="1">
        <f t="shared" si="2"/>
        <v>8.7505898093987788E-2</v>
      </c>
      <c r="G44" s="2"/>
      <c r="J44" s="3" t="s">
        <v>59</v>
      </c>
      <c r="K44" s="9">
        <v>2.4199999999999999E-2</v>
      </c>
      <c r="L44" s="9">
        <v>3.5900000000000001E-2</v>
      </c>
      <c r="M44" s="9">
        <f>K44-L44</f>
        <v>-1.1700000000000002E-2</v>
      </c>
    </row>
    <row r="45" spans="1:13">
      <c r="A45" s="16">
        <v>39417</v>
      </c>
      <c r="B45" s="17">
        <v>53.849997999999999</v>
      </c>
      <c r="C45" s="1">
        <f t="shared" si="0"/>
        <v>-5.7330450765864294E-2</v>
      </c>
      <c r="D45" s="34">
        <v>1681.45</v>
      </c>
      <c r="E45" s="1">
        <f t="shared" si="1"/>
        <v>3.6888809407817913E-2</v>
      </c>
      <c r="F45" s="1">
        <f t="shared" si="2"/>
        <v>-9.4219260173682207E-2</v>
      </c>
      <c r="G45" s="2">
        <v>0.14230999999999999</v>
      </c>
    </row>
    <row r="46" spans="1:13">
      <c r="A46" s="16">
        <v>39448</v>
      </c>
      <c r="B46" s="17">
        <v>52.125</v>
      </c>
      <c r="C46" s="1">
        <f t="shared" si="0"/>
        <v>-3.2033390233366377E-2</v>
      </c>
      <c r="D46" s="34">
        <v>1821.71</v>
      </c>
      <c r="E46" s="1">
        <f t="shared" si="1"/>
        <v>8.3416099200095184E-2</v>
      </c>
      <c r="F46" s="1">
        <f t="shared" si="2"/>
        <v>-0.11544948943346156</v>
      </c>
      <c r="G46" s="2"/>
    </row>
    <row r="47" spans="1:13">
      <c r="A47" s="16">
        <v>39479</v>
      </c>
      <c r="B47" s="17">
        <v>47.790000999999997</v>
      </c>
      <c r="C47" s="1">
        <f t="shared" si="0"/>
        <v>-8.316544844124707E-2</v>
      </c>
      <c r="D47" s="33">
        <v>1743.08</v>
      </c>
      <c r="E47" s="1">
        <f t="shared" si="1"/>
        <v>-4.3162742697794965E-2</v>
      </c>
      <c r="F47" s="1">
        <f t="shared" si="2"/>
        <v>-4.0002705743452105E-2</v>
      </c>
      <c r="G47" s="2"/>
      <c r="J47" s="23" t="s">
        <v>77</v>
      </c>
      <c r="K47" s="3"/>
    </row>
    <row r="48" spans="1:13">
      <c r="A48" s="16">
        <v>39508</v>
      </c>
      <c r="B48" s="17">
        <v>48.744999</v>
      </c>
      <c r="C48" s="1">
        <f t="shared" si="0"/>
        <v>1.9983217828348776E-2</v>
      </c>
      <c r="D48" s="34">
        <v>1697.56</v>
      </c>
      <c r="E48" s="1">
        <f t="shared" si="1"/>
        <v>-2.6114693530991162E-2</v>
      </c>
      <c r="F48" s="1">
        <f t="shared" si="2"/>
        <v>4.6097911359339938E-2</v>
      </c>
      <c r="G48" s="2"/>
      <c r="J48" s="3" t="s">
        <v>112</v>
      </c>
      <c r="K48" s="30">
        <v>0.42199999999999999</v>
      </c>
    </row>
    <row r="49" spans="1:11">
      <c r="A49" s="16">
        <v>39539</v>
      </c>
      <c r="B49" s="17">
        <v>47.549999</v>
      </c>
      <c r="C49" s="1">
        <f t="shared" si="0"/>
        <v>-2.4515335409074468E-2</v>
      </c>
      <c r="D49" s="33">
        <v>1677.77</v>
      </c>
      <c r="E49" s="1">
        <f t="shared" si="1"/>
        <v>-1.1657908998798261E-2</v>
      </c>
      <c r="F49" s="1">
        <f t="shared" si="2"/>
        <v>-1.2857426410276207E-2</v>
      </c>
      <c r="G49" s="2"/>
      <c r="J49" s="3" t="s">
        <v>113</v>
      </c>
      <c r="K49" s="30">
        <v>0.154</v>
      </c>
    </row>
    <row r="50" spans="1:11">
      <c r="A50" s="16">
        <v>39569</v>
      </c>
      <c r="B50" s="17">
        <v>50.924999</v>
      </c>
      <c r="C50" s="1">
        <f t="shared" si="0"/>
        <v>7.0977919473773188E-2</v>
      </c>
      <c r="D50" s="34">
        <v>1621.21</v>
      </c>
      <c r="E50" s="1">
        <f t="shared" si="1"/>
        <v>-3.3711414556226393E-2</v>
      </c>
      <c r="F50" s="1">
        <f t="shared" si="2"/>
        <v>0.10468933402999958</v>
      </c>
      <c r="G50" s="2"/>
      <c r="J50" s="3" t="s">
        <v>114</v>
      </c>
      <c r="K50" s="30">
        <v>9.4E-2</v>
      </c>
    </row>
    <row r="51" spans="1:11">
      <c r="A51" s="16">
        <v>39600</v>
      </c>
      <c r="B51" s="17">
        <v>52.185001</v>
      </c>
      <c r="C51" s="1">
        <f t="shared" si="0"/>
        <v>2.4742307800536212E-2</v>
      </c>
      <c r="D51" s="34">
        <v>1542.55</v>
      </c>
      <c r="E51" s="1">
        <f t="shared" si="1"/>
        <v>-4.851931581966562E-2</v>
      </c>
      <c r="F51" s="1">
        <f t="shared" si="2"/>
        <v>7.3261623620201832E-2</v>
      </c>
      <c r="G51" s="2"/>
      <c r="J51" s="3" t="s">
        <v>115</v>
      </c>
      <c r="K51" s="30">
        <v>5.8999999999999997E-2</v>
      </c>
    </row>
    <row r="52" spans="1:11">
      <c r="A52" s="16">
        <v>39630</v>
      </c>
      <c r="B52" s="17">
        <v>45.639999000000003</v>
      </c>
      <c r="C52" s="1">
        <f t="shared" si="0"/>
        <v>-0.12541921767904152</v>
      </c>
      <c r="D52" s="34">
        <v>1576.42</v>
      </c>
      <c r="E52" s="1">
        <f t="shared" si="1"/>
        <v>2.1957148876859733E-2</v>
      </c>
      <c r="F52" s="1">
        <f t="shared" si="2"/>
        <v>-0.14737636655590125</v>
      </c>
      <c r="G52" s="2"/>
      <c r="J52" s="3" t="s">
        <v>116</v>
      </c>
      <c r="K52" s="30">
        <v>4.1000000000000002E-2</v>
      </c>
    </row>
    <row r="53" spans="1:11">
      <c r="A53" s="16">
        <v>39661</v>
      </c>
      <c r="B53" s="17">
        <v>44.950001</v>
      </c>
      <c r="C53" s="1">
        <f t="shared" si="0"/>
        <v>-1.5118273775597602E-2</v>
      </c>
      <c r="D53" s="34">
        <v>1517.85</v>
      </c>
      <c r="E53" s="1">
        <f t="shared" si="1"/>
        <v>-3.715380418923897E-2</v>
      </c>
      <c r="F53" s="1">
        <f t="shared" si="2"/>
        <v>2.2035530413641369E-2</v>
      </c>
      <c r="G53" s="2"/>
    </row>
    <row r="54" spans="1:11">
      <c r="A54" s="16">
        <v>39692</v>
      </c>
      <c r="B54" s="17">
        <v>40.68</v>
      </c>
      <c r="C54" s="1">
        <f t="shared" si="0"/>
        <v>-9.4994458398343529E-2</v>
      </c>
      <c r="D54" s="34">
        <v>1497.6</v>
      </c>
      <c r="E54" s="1">
        <f t="shared" si="1"/>
        <v>-1.3341239252890658E-2</v>
      </c>
      <c r="F54" s="1">
        <f t="shared" si="2"/>
        <v>-8.1653219145452871E-2</v>
      </c>
      <c r="G54" s="2"/>
    </row>
    <row r="55" spans="1:11">
      <c r="A55" s="16">
        <v>39722</v>
      </c>
      <c r="B55" s="17">
        <v>34.25</v>
      </c>
      <c r="C55" s="1">
        <f t="shared" si="0"/>
        <v>-0.15806293018682394</v>
      </c>
      <c r="D55" s="34">
        <v>1379.21</v>
      </c>
      <c r="E55" s="1">
        <f t="shared" si="1"/>
        <v>-7.9053151709401637E-2</v>
      </c>
      <c r="F55" s="1">
        <f t="shared" si="2"/>
        <v>-7.9009778477422299E-2</v>
      </c>
      <c r="G55" s="2"/>
      <c r="J55" t="s">
        <v>60</v>
      </c>
    </row>
    <row r="56" spans="1:11">
      <c r="A56" s="16">
        <v>39753</v>
      </c>
      <c r="B56" s="17">
        <v>25.33</v>
      </c>
      <c r="C56" s="1">
        <f t="shared" si="0"/>
        <v>-0.26043795620437959</v>
      </c>
      <c r="D56" s="34">
        <v>1436.86</v>
      </c>
      <c r="E56" s="1">
        <f t="shared" si="1"/>
        <v>4.1799290898412833E-2</v>
      </c>
      <c r="F56" s="1">
        <f t="shared" si="2"/>
        <v>-0.30223724710279243</v>
      </c>
      <c r="G56" s="2"/>
      <c r="J56" t="s">
        <v>61</v>
      </c>
    </row>
    <row r="57" spans="1:11">
      <c r="A57" s="16">
        <v>39783</v>
      </c>
      <c r="B57" s="17">
        <v>22.25</v>
      </c>
      <c r="C57" s="1">
        <f t="shared" si="0"/>
        <v>-0.12159494670351356</v>
      </c>
      <c r="D57" s="33">
        <v>1397.41</v>
      </c>
      <c r="E57" s="1">
        <f t="shared" si="1"/>
        <v>-2.7455702016897843E-2</v>
      </c>
      <c r="F57" s="1">
        <f t="shared" si="2"/>
        <v>-9.413924468661572E-2</v>
      </c>
      <c r="G57" s="2">
        <v>9.6540000000000001E-2</v>
      </c>
      <c r="J57" t="s">
        <v>62</v>
      </c>
    </row>
    <row r="58" spans="1:11">
      <c r="A58" s="16">
        <v>39814</v>
      </c>
      <c r="B58" s="17">
        <v>24</v>
      </c>
      <c r="C58" s="1">
        <f t="shared" si="0"/>
        <v>7.8651685393258397E-2</v>
      </c>
      <c r="D58" s="34">
        <v>1507.44</v>
      </c>
      <c r="E58" s="1">
        <f t="shared" si="1"/>
        <v>7.8738523411167716E-2</v>
      </c>
      <c r="F58" s="1">
        <f t="shared" si="2"/>
        <v>-8.6838017909318665E-5</v>
      </c>
      <c r="G58" s="2"/>
    </row>
    <row r="59" spans="1:11">
      <c r="A59" s="16">
        <v>39845</v>
      </c>
      <c r="B59" s="17">
        <v>21.1</v>
      </c>
      <c r="C59" s="1">
        <f t="shared" si="0"/>
        <v>-0.12083333333333324</v>
      </c>
      <c r="D59" s="34">
        <v>1524.98</v>
      </c>
      <c r="E59" s="1">
        <f t="shared" si="1"/>
        <v>1.1635620654885104E-2</v>
      </c>
      <c r="F59" s="1">
        <f t="shared" si="2"/>
        <v>-0.13246895398821834</v>
      </c>
      <c r="G59" s="2"/>
    </row>
    <row r="60" spans="1:11">
      <c r="A60" s="16">
        <v>39873</v>
      </c>
      <c r="B60" s="17">
        <v>19.760000000000002</v>
      </c>
      <c r="C60" s="1">
        <f t="shared" si="0"/>
        <v>-6.3507109004739326E-2</v>
      </c>
      <c r="D60" s="33">
        <v>1549.39</v>
      </c>
      <c r="E60" s="1">
        <f t="shared" si="1"/>
        <v>1.6006767301866232E-2</v>
      </c>
      <c r="F60" s="1">
        <f t="shared" si="2"/>
        <v>-7.9513876306605558E-2</v>
      </c>
      <c r="G60" s="2"/>
    </row>
    <row r="61" spans="1:11">
      <c r="A61" s="16">
        <v>39904</v>
      </c>
      <c r="B61" s="17">
        <v>23.68</v>
      </c>
      <c r="C61" s="1">
        <f t="shared" si="0"/>
        <v>0.19838056680161942</v>
      </c>
      <c r="D61" s="33">
        <v>1577.83</v>
      </c>
      <c r="E61" s="1">
        <f t="shared" si="1"/>
        <v>1.8355610917844878E-2</v>
      </c>
      <c r="F61" s="1">
        <f t="shared" si="2"/>
        <v>0.18002495588377454</v>
      </c>
      <c r="G61" s="2"/>
    </row>
    <row r="62" spans="1:11">
      <c r="A62" s="16">
        <v>39934</v>
      </c>
      <c r="B62" s="17">
        <v>27.75</v>
      </c>
      <c r="C62" s="1">
        <f t="shared" si="0"/>
        <v>0.171875</v>
      </c>
      <c r="D62" s="33">
        <v>1474.91</v>
      </c>
      <c r="E62" s="1">
        <f t="shared" si="1"/>
        <v>-6.5228826933192985E-2</v>
      </c>
      <c r="F62" s="1">
        <f t="shared" si="2"/>
        <v>0.23710382693319298</v>
      </c>
      <c r="G62" s="2"/>
    </row>
    <row r="63" spans="1:11">
      <c r="A63" s="16">
        <v>39965</v>
      </c>
      <c r="B63" s="17">
        <v>33.580002</v>
      </c>
      <c r="C63" s="1">
        <f t="shared" si="0"/>
        <v>0.21009016216216225</v>
      </c>
      <c r="D63" s="33">
        <v>1546.52</v>
      </c>
      <c r="E63" s="1">
        <f t="shared" si="1"/>
        <v>4.8552115044307786E-2</v>
      </c>
      <c r="F63" s="1">
        <f t="shared" si="2"/>
        <v>0.16153804711785447</v>
      </c>
      <c r="G63" s="2">
        <v>1.1787700000000002E-2</v>
      </c>
    </row>
    <row r="64" spans="1:11">
      <c r="A64" s="16">
        <v>39995</v>
      </c>
      <c r="B64" s="17">
        <v>32.389999000000003</v>
      </c>
      <c r="C64" s="1">
        <f t="shared" si="0"/>
        <v>-3.5437847800009026E-2</v>
      </c>
      <c r="D64" s="33">
        <v>1531.5</v>
      </c>
      <c r="E64" s="1">
        <f t="shared" si="1"/>
        <v>-9.7121278741949535E-3</v>
      </c>
      <c r="F64" s="1">
        <f t="shared" si="2"/>
        <v>-2.5725719925814072E-2</v>
      </c>
      <c r="G64" s="2"/>
    </row>
    <row r="65" spans="1:7">
      <c r="A65" s="16">
        <v>40026</v>
      </c>
      <c r="B65" s="17">
        <v>36.25</v>
      </c>
      <c r="C65" s="1">
        <f t="shared" si="0"/>
        <v>0.1191726186839337</v>
      </c>
      <c r="D65" s="33">
        <v>1460.62</v>
      </c>
      <c r="E65" s="1">
        <f t="shared" si="1"/>
        <v>-4.628142344107089E-2</v>
      </c>
      <c r="F65" s="1">
        <f t="shared" si="2"/>
        <v>0.16545404212500459</v>
      </c>
      <c r="G65" s="2"/>
    </row>
    <row r="66" spans="1:7">
      <c r="A66" s="16">
        <v>40057</v>
      </c>
      <c r="B66" s="17">
        <v>35.099997999999999</v>
      </c>
      <c r="C66" s="1">
        <f t="shared" si="0"/>
        <v>-3.1724193103448317E-2</v>
      </c>
      <c r="D66" s="33">
        <v>1475.59</v>
      </c>
      <c r="E66" s="1">
        <f t="shared" si="1"/>
        <v>1.024907231175809E-2</v>
      </c>
      <c r="F66" s="1">
        <f t="shared" si="2"/>
        <v>-4.1973265415206407E-2</v>
      </c>
      <c r="G66" s="2"/>
    </row>
    <row r="67" spans="1:7">
      <c r="A67" s="16">
        <v>40087</v>
      </c>
      <c r="B67" s="17">
        <v>38.520000000000003</v>
      </c>
      <c r="C67" s="1">
        <f t="shared" si="0"/>
        <v>9.7435959967861141E-2</v>
      </c>
      <c r="D67" s="34">
        <v>1534.56</v>
      </c>
      <c r="E67" s="1">
        <f t="shared" si="1"/>
        <v>3.9963675546730526E-2</v>
      </c>
      <c r="F67" s="1">
        <f t="shared" si="2"/>
        <v>5.7472284421130615E-2</v>
      </c>
      <c r="G67" s="2"/>
    </row>
    <row r="68" spans="1:7">
      <c r="A68" s="16">
        <v>40118</v>
      </c>
      <c r="B68" s="17">
        <v>38.099997999999999</v>
      </c>
      <c r="C68" s="1">
        <f t="shared" si="0"/>
        <v>-1.0903478712357306E-2</v>
      </c>
      <c r="D68" s="33">
        <v>1535.48</v>
      </c>
      <c r="E68" s="1">
        <f t="shared" si="1"/>
        <v>5.9952038369304184E-4</v>
      </c>
      <c r="F68" s="1">
        <f t="shared" si="2"/>
        <v>-1.1502999096050348E-2</v>
      </c>
      <c r="G68" s="2"/>
    </row>
    <row r="69" spans="1:7">
      <c r="A69" s="16">
        <v>40148</v>
      </c>
      <c r="B69" s="17">
        <v>41.07</v>
      </c>
      <c r="C69" s="1">
        <f t="shared" si="0"/>
        <v>7.7952812490961421E-2</v>
      </c>
      <c r="D69" s="33">
        <v>1638.24</v>
      </c>
      <c r="E69" s="1">
        <f t="shared" si="1"/>
        <v>6.6923698126970077E-2</v>
      </c>
      <c r="F69" s="1">
        <f t="shared" si="2"/>
        <v>1.1029114363991344E-2</v>
      </c>
      <c r="G69" s="2">
        <v>9.4E-2</v>
      </c>
    </row>
    <row r="70" spans="1:7">
      <c r="A70" s="16">
        <v>40179</v>
      </c>
      <c r="B70" s="17">
        <v>41.759998000000003</v>
      </c>
      <c r="C70" s="1">
        <f t="shared" si="0"/>
        <v>1.6800535670806083E-2</v>
      </c>
      <c r="D70" s="34">
        <v>1567.42</v>
      </c>
      <c r="E70" s="1">
        <f t="shared" si="1"/>
        <v>-4.3229319269459832E-2</v>
      </c>
      <c r="F70" s="1">
        <f t="shared" si="2"/>
        <v>6.0029854940265914E-2</v>
      </c>
      <c r="G70" s="2"/>
    </row>
    <row r="71" spans="1:7">
      <c r="A71" s="16">
        <v>40210</v>
      </c>
      <c r="B71" s="17">
        <v>38.610000999999997</v>
      </c>
      <c r="C71" s="1">
        <f t="shared" si="0"/>
        <v>-7.5430966256272436E-2</v>
      </c>
      <c r="D71" s="33">
        <v>1487.78</v>
      </c>
      <c r="E71" s="1">
        <f t="shared" si="1"/>
        <v>-5.0809610697834739E-2</v>
      </c>
      <c r="F71" s="1">
        <f t="shared" si="2"/>
        <v>-2.4621355558437696E-2</v>
      </c>
      <c r="G71" s="2"/>
    </row>
    <row r="72" spans="1:7">
      <c r="A72" s="16">
        <v>40238</v>
      </c>
      <c r="B72" s="17">
        <v>39.450001</v>
      </c>
      <c r="C72" s="1">
        <f t="shared" si="0"/>
        <v>2.1756021192540276E-2</v>
      </c>
      <c r="D72" s="33">
        <v>1237.17</v>
      </c>
      <c r="E72" s="1">
        <f t="shared" si="1"/>
        <v>-0.16844560351664895</v>
      </c>
      <c r="F72" s="1">
        <f t="shared" si="2"/>
        <v>0.19020162470918922</v>
      </c>
      <c r="G72" s="2"/>
    </row>
    <row r="73" spans="1:7">
      <c r="A73" s="16">
        <v>40269</v>
      </c>
      <c r="B73" s="17">
        <v>42.77</v>
      </c>
      <c r="C73" s="1">
        <f t="shared" si="0"/>
        <v>8.4157133481441493E-2</v>
      </c>
      <c r="D73" s="33">
        <v>1353.67</v>
      </c>
      <c r="E73" s="1">
        <f t="shared" si="1"/>
        <v>9.416652521480473E-2</v>
      </c>
      <c r="F73" s="1">
        <f t="shared" si="2"/>
        <v>-1.0009391733363238E-2</v>
      </c>
      <c r="G73" s="2"/>
    </row>
    <row r="74" spans="1:7">
      <c r="A74" s="16">
        <v>40299</v>
      </c>
      <c r="B74" s="17">
        <v>42.25</v>
      </c>
      <c r="C74" s="1">
        <f t="shared" si="0"/>
        <v>-1.2158054711246313E-2</v>
      </c>
      <c r="D74" s="34">
        <v>1365.04</v>
      </c>
      <c r="E74" s="1">
        <f t="shared" si="1"/>
        <v>8.3993883295041538E-3</v>
      </c>
      <c r="F74" s="1">
        <f t="shared" si="2"/>
        <v>-2.0557443040750467E-2</v>
      </c>
      <c r="G74" s="2"/>
    </row>
    <row r="75" spans="1:7">
      <c r="A75" s="16">
        <v>40330</v>
      </c>
      <c r="B75" s="17">
        <v>37.770000000000003</v>
      </c>
      <c r="C75" s="1">
        <f t="shared" si="0"/>
        <v>-0.10603550295857977</v>
      </c>
      <c r="D75" s="34">
        <v>1468.29</v>
      </c>
      <c r="E75" s="1">
        <f t="shared" si="1"/>
        <v>7.5638809119146666E-2</v>
      </c>
      <c r="F75" s="1">
        <f t="shared" si="2"/>
        <v>-0.18167431207772644</v>
      </c>
      <c r="G75" s="2"/>
    </row>
    <row r="76" spans="1:7">
      <c r="A76" s="16">
        <v>40360</v>
      </c>
      <c r="B76" s="17">
        <v>38.139999000000003</v>
      </c>
      <c r="C76" s="1">
        <f t="shared" si="0"/>
        <v>9.7961080222399577E-3</v>
      </c>
      <c r="D76" s="28">
        <v>228.57</v>
      </c>
      <c r="E76" s="1">
        <f t="shared" si="1"/>
        <v>-0.84432911754489914</v>
      </c>
      <c r="F76" s="1">
        <f t="shared" si="2"/>
        <v>0.8541252255671391</v>
      </c>
      <c r="G76" s="2"/>
    </row>
    <row r="77" spans="1:7">
      <c r="A77" s="16">
        <v>40391</v>
      </c>
      <c r="B77" s="17">
        <v>42.720001000000003</v>
      </c>
      <c r="C77" s="1">
        <f t="shared" si="0"/>
        <v>0.12008395700272567</v>
      </c>
      <c r="D77" s="29">
        <v>224.18</v>
      </c>
      <c r="E77" s="1">
        <f t="shared" si="1"/>
        <v>-1.9206370039812737E-2</v>
      </c>
      <c r="F77" s="1">
        <f t="shared" si="2"/>
        <v>0.13929032704253841</v>
      </c>
      <c r="G77" s="2"/>
    </row>
    <row r="78" spans="1:7">
      <c r="A78" s="16">
        <v>40422</v>
      </c>
      <c r="B78" s="17">
        <v>41.549999</v>
      </c>
      <c r="C78" s="1">
        <f t="shared" ref="C78:C141" si="3">(B78/B77)-1</f>
        <v>-2.7387686624820162E-2</v>
      </c>
      <c r="D78" s="28">
        <v>243.71</v>
      </c>
      <c r="E78" s="1">
        <f t="shared" si="1"/>
        <v>8.7117494870193601E-2</v>
      </c>
      <c r="F78" s="1">
        <f t="shared" si="2"/>
        <v>-0.11450518149501376</v>
      </c>
      <c r="G78" s="2"/>
    </row>
    <row r="79" spans="1:7">
      <c r="A79" s="16">
        <v>40452</v>
      </c>
      <c r="B79" s="17">
        <v>46</v>
      </c>
      <c r="C79" s="1">
        <f t="shared" si="3"/>
        <v>0.10709990630806043</v>
      </c>
      <c r="D79" s="28">
        <v>249.35</v>
      </c>
      <c r="E79" s="1">
        <f t="shared" si="1"/>
        <v>2.3142259242542318E-2</v>
      </c>
      <c r="F79" s="1">
        <f t="shared" si="2"/>
        <v>8.3957647065518115E-2</v>
      </c>
      <c r="G79" s="2"/>
    </row>
    <row r="80" spans="1:7">
      <c r="A80" s="16">
        <v>40483</v>
      </c>
      <c r="B80" s="17">
        <v>47.34</v>
      </c>
      <c r="C80" s="1">
        <f t="shared" si="3"/>
        <v>2.9130434782608683E-2</v>
      </c>
      <c r="D80" s="29">
        <v>247.75</v>
      </c>
      <c r="E80" s="1">
        <f t="shared" si="1"/>
        <v>-6.4166833767795861E-3</v>
      </c>
      <c r="F80" s="1">
        <f t="shared" si="2"/>
        <v>3.5547118159388269E-2</v>
      </c>
      <c r="G80" s="2"/>
    </row>
    <row r="81" spans="1:7">
      <c r="A81" s="16">
        <v>40513</v>
      </c>
      <c r="B81" s="17">
        <v>46.68</v>
      </c>
      <c r="C81" s="1">
        <f t="shared" si="3"/>
        <v>-1.3941698352344822E-2</v>
      </c>
      <c r="D81" s="28">
        <v>265.35000000000002</v>
      </c>
      <c r="E81" s="1">
        <f t="shared" si="1"/>
        <v>7.1039354187689252E-2</v>
      </c>
      <c r="F81" s="1">
        <f t="shared" si="2"/>
        <v>-8.4981052540034074E-2</v>
      </c>
      <c r="G81" s="2">
        <v>0.10636</v>
      </c>
    </row>
    <row r="82" spans="1:7">
      <c r="A82" s="16">
        <v>40544</v>
      </c>
      <c r="B82" s="17">
        <v>48.560001</v>
      </c>
      <c r="C82" s="1">
        <f t="shared" si="3"/>
        <v>4.027422879177367E-2</v>
      </c>
      <c r="D82" s="29">
        <v>262.87</v>
      </c>
      <c r="E82" s="1">
        <f t="shared" si="1"/>
        <v>-9.3461465988318171E-3</v>
      </c>
      <c r="F82" s="1">
        <f t="shared" si="2"/>
        <v>4.9620375390605487E-2</v>
      </c>
      <c r="G82" s="2"/>
    </row>
    <row r="83" spans="1:7">
      <c r="A83" s="16">
        <v>40575</v>
      </c>
      <c r="B83" s="17">
        <v>46.950001</v>
      </c>
      <c r="C83" s="1">
        <f t="shared" si="3"/>
        <v>-3.3154859284290406E-2</v>
      </c>
      <c r="D83" s="28">
        <v>263.81</v>
      </c>
      <c r="E83" s="1">
        <f t="shared" si="1"/>
        <v>3.5759120477802941E-3</v>
      </c>
      <c r="F83" s="1">
        <f t="shared" si="2"/>
        <v>-3.67307713320707E-2</v>
      </c>
      <c r="G83" s="2"/>
    </row>
    <row r="84" spans="1:7">
      <c r="A84" s="16">
        <v>40603</v>
      </c>
      <c r="B84" s="17">
        <v>46.689999</v>
      </c>
      <c r="C84" s="1">
        <f t="shared" si="3"/>
        <v>-5.5378486573408603E-3</v>
      </c>
      <c r="D84" s="29">
        <v>262.23</v>
      </c>
      <c r="E84" s="1">
        <f t="shared" si="1"/>
        <v>-5.9891588643341542E-3</v>
      </c>
      <c r="F84" s="1">
        <f t="shared" si="2"/>
        <v>4.5131020699329394E-4</v>
      </c>
      <c r="G84" s="2"/>
    </row>
    <row r="85" spans="1:7">
      <c r="A85" s="16">
        <v>40634</v>
      </c>
      <c r="B85" s="17">
        <v>49.57</v>
      </c>
      <c r="C85" s="1">
        <f t="shared" si="3"/>
        <v>6.1683466731280001E-2</v>
      </c>
      <c r="D85" s="28">
        <v>269.58</v>
      </c>
      <c r="E85" s="1">
        <f t="shared" si="1"/>
        <v>2.8028829653357512E-2</v>
      </c>
      <c r="F85" s="1">
        <f t="shared" si="2"/>
        <v>3.3654637077922489E-2</v>
      </c>
      <c r="G85" s="2"/>
    </row>
    <row r="86" spans="1:7">
      <c r="A86" s="16">
        <v>40664</v>
      </c>
      <c r="B86" s="17">
        <v>50.790000999999997</v>
      </c>
      <c r="C86" s="1">
        <f t="shared" si="3"/>
        <v>2.4611680451886109E-2</v>
      </c>
      <c r="D86" s="29">
        <v>263.49</v>
      </c>
      <c r="E86" s="1">
        <f t="shared" ref="E86:E149" si="4">D86/D85-1</f>
        <v>-2.2590696639216423E-2</v>
      </c>
      <c r="F86" s="1">
        <f t="shared" ref="F86:F149" si="5">C86-E86</f>
        <v>4.7202377091102532E-2</v>
      </c>
      <c r="G86" s="2"/>
    </row>
    <row r="87" spans="1:7">
      <c r="A87" s="16">
        <v>40695</v>
      </c>
      <c r="B87" s="17">
        <v>49.009998000000003</v>
      </c>
      <c r="C87" s="1">
        <f t="shared" si="3"/>
        <v>-3.5046327327301952E-2</v>
      </c>
      <c r="D87" s="29">
        <v>260.92</v>
      </c>
      <c r="E87" s="1">
        <f t="shared" si="4"/>
        <v>-9.7536908421571589E-3</v>
      </c>
      <c r="F87" s="1">
        <f t="shared" si="5"/>
        <v>-2.5292636485144793E-2</v>
      </c>
      <c r="G87" s="2"/>
    </row>
    <row r="88" spans="1:7">
      <c r="A88" s="16">
        <v>40725</v>
      </c>
      <c r="B88" s="17">
        <v>48.599997999999999</v>
      </c>
      <c r="C88" s="1">
        <f t="shared" si="3"/>
        <v>-8.3656400067595449E-3</v>
      </c>
      <c r="D88" s="28">
        <v>264.52999999999997</v>
      </c>
      <c r="E88" s="1">
        <f t="shared" si="4"/>
        <v>1.3835658439368181E-2</v>
      </c>
      <c r="F88" s="1">
        <f t="shared" si="5"/>
        <v>-2.2201298446127726E-2</v>
      </c>
      <c r="G88" s="2"/>
    </row>
    <row r="89" spans="1:7">
      <c r="A89" s="16">
        <v>40756</v>
      </c>
      <c r="B89" s="17">
        <v>48.84</v>
      </c>
      <c r="C89" s="1">
        <f t="shared" si="3"/>
        <v>4.9383129604245735E-3</v>
      </c>
      <c r="D89" s="29">
        <v>241.71</v>
      </c>
      <c r="E89" s="1">
        <f t="shared" si="4"/>
        <v>-8.6266207991532062E-2</v>
      </c>
      <c r="F89" s="1">
        <f t="shared" si="5"/>
        <v>9.1204520951956636E-2</v>
      </c>
      <c r="G89" s="2"/>
    </row>
    <row r="90" spans="1:7">
      <c r="A90" s="16">
        <v>40787</v>
      </c>
      <c r="B90" s="17">
        <v>44.040000999999997</v>
      </c>
      <c r="C90" s="1">
        <f t="shared" si="3"/>
        <v>-9.828007780507797E-2</v>
      </c>
      <c r="D90" s="29">
        <v>218.25</v>
      </c>
      <c r="E90" s="1">
        <f t="shared" si="4"/>
        <v>-9.705845848330652E-2</v>
      </c>
      <c r="F90" s="1">
        <f t="shared" si="5"/>
        <v>-1.2216193217714499E-3</v>
      </c>
      <c r="G90" s="2"/>
    </row>
    <row r="91" spans="1:7">
      <c r="A91" s="16">
        <v>40817</v>
      </c>
      <c r="B91" s="17">
        <v>35.889999000000003</v>
      </c>
      <c r="C91" s="1">
        <f t="shared" si="3"/>
        <v>-0.18505907845006619</v>
      </c>
      <c r="D91" s="28">
        <v>235.44</v>
      </c>
      <c r="E91" s="1">
        <f t="shared" si="4"/>
        <v>7.8762886597938175E-2</v>
      </c>
      <c r="F91" s="1">
        <f t="shared" si="5"/>
        <v>-0.26382196504800437</v>
      </c>
      <c r="G91" s="2"/>
    </row>
    <row r="92" spans="1:7">
      <c r="A92" s="16">
        <v>40848</v>
      </c>
      <c r="B92" s="17">
        <v>40.029998999999997</v>
      </c>
      <c r="C92" s="1">
        <f t="shared" si="3"/>
        <v>0.1153524690819856</v>
      </c>
      <c r="D92" s="29">
        <v>219.58</v>
      </c>
      <c r="E92" s="1">
        <f t="shared" si="4"/>
        <v>-6.7363234794427407E-2</v>
      </c>
      <c r="F92" s="1">
        <f t="shared" si="5"/>
        <v>0.182715703876413</v>
      </c>
      <c r="G92" s="2"/>
    </row>
    <row r="93" spans="1:7">
      <c r="A93" s="16">
        <v>40878</v>
      </c>
      <c r="B93" s="17">
        <v>40.82</v>
      </c>
      <c r="C93" s="1">
        <f t="shared" si="3"/>
        <v>1.9735224075324131E-2</v>
      </c>
      <c r="D93" s="28">
        <v>219.95</v>
      </c>
      <c r="E93" s="1">
        <f t="shared" si="4"/>
        <v>1.6850350669459502E-3</v>
      </c>
      <c r="F93" s="1">
        <f t="shared" si="5"/>
        <v>1.8050189008378181E-2</v>
      </c>
      <c r="G93" s="2">
        <v>9.5509999999999998E-2</v>
      </c>
    </row>
    <row r="94" spans="1:7">
      <c r="A94" s="16">
        <v>40909</v>
      </c>
      <c r="B94" s="17">
        <v>39.209999000000003</v>
      </c>
      <c r="C94" s="1">
        <f t="shared" si="3"/>
        <v>-3.944147476727089E-2</v>
      </c>
      <c r="D94" s="28">
        <v>237.87</v>
      </c>
      <c r="E94" s="1">
        <f t="shared" si="4"/>
        <v>8.1473062059559176E-2</v>
      </c>
      <c r="F94" s="1">
        <f t="shared" si="5"/>
        <v>-0.12091453682683007</v>
      </c>
      <c r="G94" s="2"/>
    </row>
    <row r="95" spans="1:7">
      <c r="A95" s="16">
        <v>40940</v>
      </c>
      <c r="B95" s="17">
        <v>42.990001999999997</v>
      </c>
      <c r="C95" s="1">
        <f t="shared" si="3"/>
        <v>9.6404057546647604E-2</v>
      </c>
      <c r="D95" s="28">
        <v>249.54</v>
      </c>
      <c r="E95" s="1">
        <f t="shared" si="4"/>
        <v>4.906041114894677E-2</v>
      </c>
      <c r="F95" s="1">
        <f t="shared" si="5"/>
        <v>4.7343646397700834E-2</v>
      </c>
      <c r="G95" s="2"/>
    </row>
    <row r="96" spans="1:7">
      <c r="A96" s="16">
        <v>40969</v>
      </c>
      <c r="B96" s="17">
        <v>44.810001</v>
      </c>
      <c r="C96" s="1">
        <f t="shared" si="3"/>
        <v>4.2335401612682011E-2</v>
      </c>
      <c r="D96" s="29">
        <v>244.52</v>
      </c>
      <c r="E96" s="1">
        <f t="shared" si="4"/>
        <v>-2.0117015308167008E-2</v>
      </c>
      <c r="F96" s="1">
        <f t="shared" si="5"/>
        <v>6.2452416920849019E-2</v>
      </c>
      <c r="G96" s="2"/>
    </row>
    <row r="97" spans="1:7">
      <c r="A97" s="16">
        <v>41000</v>
      </c>
      <c r="B97" s="17">
        <v>43.369999</v>
      </c>
      <c r="C97" s="1">
        <f t="shared" si="3"/>
        <v>-3.2135727914846535E-2</v>
      </c>
      <c r="D97" s="29">
        <v>242.18</v>
      </c>
      <c r="E97" s="1">
        <f t="shared" si="4"/>
        <v>-9.5697693440209841E-3</v>
      </c>
      <c r="F97" s="1">
        <f t="shared" si="5"/>
        <v>-2.2565958570825551E-2</v>
      </c>
      <c r="G97" s="2"/>
    </row>
    <row r="98" spans="1:7">
      <c r="A98" s="16">
        <v>41030</v>
      </c>
      <c r="B98" s="17">
        <v>42.619999</v>
      </c>
      <c r="C98" s="1">
        <f t="shared" si="3"/>
        <v>-1.7293060117432812E-2</v>
      </c>
      <c r="D98" s="29">
        <v>217.55</v>
      </c>
      <c r="E98" s="1">
        <f t="shared" si="4"/>
        <v>-0.10170121397307785</v>
      </c>
      <c r="F98" s="1">
        <f t="shared" si="5"/>
        <v>8.4408153855645041E-2</v>
      </c>
      <c r="G98" s="2"/>
    </row>
    <row r="99" spans="1:7">
      <c r="A99" s="16">
        <v>41061</v>
      </c>
      <c r="B99" s="17">
        <v>37.259998000000003</v>
      </c>
      <c r="C99" s="1">
        <f t="shared" si="3"/>
        <v>-0.12576257920606704</v>
      </c>
      <c r="D99" s="28">
        <v>226.37</v>
      </c>
      <c r="E99" s="1">
        <f t="shared" si="4"/>
        <v>4.0542404045047054E-2</v>
      </c>
      <c r="F99" s="1">
        <f t="shared" si="5"/>
        <v>-0.16630498325111409</v>
      </c>
      <c r="G99" s="2"/>
    </row>
    <row r="100" spans="1:7">
      <c r="A100" s="16">
        <v>41091</v>
      </c>
      <c r="B100" s="17">
        <v>39.860000999999997</v>
      </c>
      <c r="C100" s="1">
        <f t="shared" si="3"/>
        <v>6.9780009113258545E-2</v>
      </c>
      <c r="D100" s="28">
        <v>229.43</v>
      </c>
      <c r="E100" s="1">
        <f t="shared" si="4"/>
        <v>1.3517692273711246E-2</v>
      </c>
      <c r="F100" s="1">
        <f t="shared" si="5"/>
        <v>5.6262316839547299E-2</v>
      </c>
      <c r="G100" s="2"/>
    </row>
    <row r="101" spans="1:7">
      <c r="A101" s="16">
        <v>41122</v>
      </c>
      <c r="B101" s="17">
        <v>40.439999</v>
      </c>
      <c r="C101" s="1">
        <f t="shared" si="3"/>
        <v>1.4550877708206844E-2</v>
      </c>
      <c r="D101" s="29">
        <v>227.95</v>
      </c>
      <c r="E101" s="1">
        <f t="shared" si="4"/>
        <v>-6.4507692978251763E-3</v>
      </c>
      <c r="F101" s="1">
        <f t="shared" si="5"/>
        <v>2.100164700603202E-2</v>
      </c>
      <c r="G101" s="2"/>
    </row>
    <row r="102" spans="1:7">
      <c r="A102" s="16">
        <v>41153</v>
      </c>
      <c r="B102" s="17">
        <v>40.150002000000001</v>
      </c>
      <c r="C102" s="1">
        <f t="shared" si="3"/>
        <v>-7.1710436985915615E-3</v>
      </c>
      <c r="D102" s="28">
        <v>237.52</v>
      </c>
      <c r="E102" s="1">
        <f t="shared" si="4"/>
        <v>4.1982890984865184E-2</v>
      </c>
      <c r="F102" s="1">
        <f t="shared" si="5"/>
        <v>-4.9153934683456746E-2</v>
      </c>
      <c r="G102" s="2"/>
    </row>
    <row r="103" spans="1:7">
      <c r="A103" s="16">
        <v>41183</v>
      </c>
      <c r="B103" s="17">
        <v>42.080002</v>
      </c>
      <c r="C103" s="1">
        <f t="shared" si="3"/>
        <v>4.8069736086189918E-2</v>
      </c>
      <c r="D103" s="29">
        <v>236.86</v>
      </c>
      <c r="E103" s="1">
        <f t="shared" si="4"/>
        <v>-2.7787133715055923E-3</v>
      </c>
      <c r="F103" s="1">
        <f t="shared" si="5"/>
        <v>5.084844945769551E-2</v>
      </c>
      <c r="G103" s="2"/>
    </row>
    <row r="104" spans="1:7">
      <c r="A104" s="16">
        <v>41214</v>
      </c>
      <c r="B104" s="17">
        <v>41.82</v>
      </c>
      <c r="C104" s="1">
        <f t="shared" si="3"/>
        <v>-6.1787544591846988E-3</v>
      </c>
      <c r="D104" s="28">
        <v>241.75</v>
      </c>
      <c r="E104" s="1">
        <f t="shared" si="4"/>
        <v>2.064510681415177E-2</v>
      </c>
      <c r="F104" s="1">
        <f t="shared" si="5"/>
        <v>-2.6823861273336469E-2</v>
      </c>
      <c r="G104" s="2"/>
    </row>
    <row r="105" spans="1:7">
      <c r="A105" s="16">
        <v>41244</v>
      </c>
      <c r="B105" s="17">
        <v>42.330002</v>
      </c>
      <c r="C105" s="1">
        <f t="shared" si="3"/>
        <v>1.2195169775227166E-2</v>
      </c>
      <c r="D105" s="28">
        <v>251.15</v>
      </c>
      <c r="E105" s="1">
        <f t="shared" si="4"/>
        <v>3.888314374353663E-2</v>
      </c>
      <c r="F105" s="1">
        <f t="shared" si="5"/>
        <v>-2.6687973968309464E-2</v>
      </c>
      <c r="G105" s="2">
        <v>7.8600000000000003E-2</v>
      </c>
    </row>
    <row r="106" spans="1:7">
      <c r="A106" s="16">
        <v>41275</v>
      </c>
      <c r="B106" s="17">
        <v>45.130001</v>
      </c>
      <c r="C106" s="1">
        <f t="shared" si="3"/>
        <v>6.6146913954787889E-2</v>
      </c>
      <c r="D106" s="28">
        <v>258.73</v>
      </c>
      <c r="E106" s="1">
        <f t="shared" si="4"/>
        <v>3.0181166633485912E-2</v>
      </c>
      <c r="F106" s="1">
        <f t="shared" si="5"/>
        <v>3.5965747321301977E-2</v>
      </c>
      <c r="G106" s="2"/>
    </row>
    <row r="107" spans="1:7">
      <c r="A107" s="16">
        <v>41306</v>
      </c>
      <c r="B107" s="17">
        <v>44.810001</v>
      </c>
      <c r="C107" s="1">
        <f t="shared" si="3"/>
        <v>-7.0906269202165584E-3</v>
      </c>
      <c r="D107" s="28">
        <v>261.77999999999997</v>
      </c>
      <c r="E107" s="1">
        <f t="shared" si="4"/>
        <v>1.1788350790399083E-2</v>
      </c>
      <c r="F107" s="1">
        <f t="shared" si="5"/>
        <v>-1.8878977710615641E-2</v>
      </c>
      <c r="G107" s="2"/>
    </row>
    <row r="108" spans="1:7">
      <c r="A108" s="16">
        <v>41334</v>
      </c>
      <c r="B108" s="17">
        <v>43.380001</v>
      </c>
      <c r="C108" s="1">
        <f t="shared" si="3"/>
        <v>-3.1912518814717239E-2</v>
      </c>
      <c r="D108" s="29">
        <v>261.77999999999997</v>
      </c>
      <c r="E108" s="1">
        <f t="shared" si="4"/>
        <v>0</v>
      </c>
      <c r="F108" s="1">
        <f t="shared" si="5"/>
        <v>-3.1912518814717239E-2</v>
      </c>
      <c r="G108" s="2"/>
    </row>
    <row r="109" spans="1:7">
      <c r="A109" s="16">
        <v>41365</v>
      </c>
      <c r="B109" s="17">
        <v>42.880001</v>
      </c>
      <c r="C109" s="1">
        <f t="shared" si="3"/>
        <v>-1.1526048604747596E-2</v>
      </c>
      <c r="D109" s="28">
        <v>274.51</v>
      </c>
      <c r="E109" s="1">
        <f t="shared" si="4"/>
        <v>4.8628619451447808E-2</v>
      </c>
      <c r="F109" s="1">
        <f t="shared" si="5"/>
        <v>-6.0154668056195404E-2</v>
      </c>
      <c r="G109" s="2"/>
    </row>
    <row r="110" spans="1:7">
      <c r="A110" s="16">
        <v>41395</v>
      </c>
      <c r="B110" s="17">
        <v>43.700001</v>
      </c>
      <c r="C110" s="1">
        <f t="shared" si="3"/>
        <v>1.912313388238962E-2</v>
      </c>
      <c r="D110" s="29">
        <v>260.64</v>
      </c>
      <c r="E110" s="1">
        <f t="shared" si="4"/>
        <v>-5.0526392481148208E-2</v>
      </c>
      <c r="F110" s="1">
        <f t="shared" si="5"/>
        <v>6.9649526363537828E-2</v>
      </c>
      <c r="G110" s="2"/>
    </row>
    <row r="111" spans="1:7">
      <c r="A111" s="16">
        <v>41426</v>
      </c>
      <c r="B111" s="17">
        <v>41.720001000000003</v>
      </c>
      <c r="C111" s="1">
        <f t="shared" si="3"/>
        <v>-4.530892344830828E-2</v>
      </c>
      <c r="D111" s="29">
        <v>252.46</v>
      </c>
      <c r="E111" s="1">
        <f t="shared" si="4"/>
        <v>-3.1384284837323473E-2</v>
      </c>
      <c r="F111" s="1">
        <f t="shared" si="5"/>
        <v>-1.3924638610984807E-2</v>
      </c>
      <c r="G111" s="2"/>
    </row>
    <row r="112" spans="1:7">
      <c r="A112" s="16">
        <v>41456</v>
      </c>
      <c r="B112" s="17">
        <v>39</v>
      </c>
      <c r="C112" s="1">
        <f t="shared" si="3"/>
        <v>-6.5196570824626821E-2</v>
      </c>
      <c r="D112" s="28">
        <v>255.89</v>
      </c>
      <c r="E112" s="1">
        <f t="shared" si="4"/>
        <v>1.3586310702685456E-2</v>
      </c>
      <c r="F112" s="1">
        <f t="shared" si="5"/>
        <v>-7.8782881527312276E-2</v>
      </c>
      <c r="G112" s="2"/>
    </row>
    <row r="113" spans="1:7">
      <c r="A113" s="16">
        <v>41487</v>
      </c>
      <c r="B113" s="17">
        <v>39.5</v>
      </c>
      <c r="C113" s="1">
        <f t="shared" si="3"/>
        <v>1.2820512820512775E-2</v>
      </c>
      <c r="D113" s="29">
        <v>251.82</v>
      </c>
      <c r="E113" s="1">
        <f t="shared" si="4"/>
        <v>-1.5905271796475051E-2</v>
      </c>
      <c r="F113" s="1">
        <f t="shared" si="5"/>
        <v>2.8725784616987826E-2</v>
      </c>
      <c r="G113" s="2"/>
    </row>
    <row r="114" spans="1:7">
      <c r="A114" s="16">
        <v>41518</v>
      </c>
      <c r="B114" s="17">
        <v>38.209999000000003</v>
      </c>
      <c r="C114" s="1">
        <f t="shared" si="3"/>
        <v>-3.2658253164556839E-2</v>
      </c>
      <c r="D114" s="28">
        <v>268.27</v>
      </c>
      <c r="E114" s="1">
        <f t="shared" si="4"/>
        <v>6.5324438090699655E-2</v>
      </c>
      <c r="F114" s="1">
        <f t="shared" si="5"/>
        <v>-9.7982691255256493E-2</v>
      </c>
      <c r="G114" s="2"/>
    </row>
    <row r="115" spans="1:7">
      <c r="A115" s="16">
        <v>41548</v>
      </c>
      <c r="B115" s="17">
        <v>40.400002000000001</v>
      </c>
      <c r="C115" s="1">
        <f t="shared" si="3"/>
        <v>5.7314919060845737E-2</v>
      </c>
      <c r="D115" s="28">
        <v>275.51</v>
      </c>
      <c r="E115" s="1">
        <f t="shared" si="4"/>
        <v>2.6987736235881687E-2</v>
      </c>
      <c r="F115" s="1">
        <f t="shared" si="5"/>
        <v>3.032718282496405E-2</v>
      </c>
      <c r="G115" s="2"/>
    </row>
    <row r="116" spans="1:7">
      <c r="A116" s="16">
        <v>41579</v>
      </c>
      <c r="B116" s="17">
        <v>41.919998</v>
      </c>
      <c r="C116" s="1">
        <f t="shared" si="3"/>
        <v>3.7623661503779049E-2</v>
      </c>
      <c r="D116" s="29">
        <v>274.89</v>
      </c>
      <c r="E116" s="1">
        <f t="shared" si="4"/>
        <v>-2.2503720373125979E-3</v>
      </c>
      <c r="F116" s="1">
        <f t="shared" si="5"/>
        <v>3.9874033541091647E-2</v>
      </c>
      <c r="G116" s="2"/>
    </row>
    <row r="117" spans="1:7">
      <c r="A117" s="16">
        <v>41609</v>
      </c>
      <c r="B117" s="17">
        <v>41.380001</v>
      </c>
      <c r="C117" s="1">
        <f t="shared" si="3"/>
        <v>-1.2881608439007985E-2</v>
      </c>
      <c r="D117" s="29">
        <v>273.7</v>
      </c>
      <c r="E117" s="1">
        <f t="shared" si="4"/>
        <v>-4.3290043290042934E-3</v>
      </c>
      <c r="F117" s="1">
        <f t="shared" si="5"/>
        <v>-8.552604110003692E-3</v>
      </c>
      <c r="G117" s="2">
        <v>7.7689999999999995E-2</v>
      </c>
    </row>
    <row r="118" spans="1:7">
      <c r="A118" s="16">
        <v>41640</v>
      </c>
      <c r="B118" s="17">
        <v>40.509998000000003</v>
      </c>
      <c r="C118" s="1">
        <f t="shared" si="3"/>
        <v>-2.1024721579876116E-2</v>
      </c>
      <c r="D118" s="29">
        <v>261.14</v>
      </c>
      <c r="E118" s="1">
        <f t="shared" si="4"/>
        <v>-4.5889660211910877E-2</v>
      </c>
      <c r="F118" s="1">
        <f t="shared" si="5"/>
        <v>2.4864938632034761E-2</v>
      </c>
      <c r="G118" s="2"/>
    </row>
    <row r="119" spans="1:7">
      <c r="A119" s="16">
        <v>41671</v>
      </c>
      <c r="B119" s="17">
        <v>37.5</v>
      </c>
      <c r="C119" s="1">
        <f t="shared" si="3"/>
        <v>-7.430259562096253E-2</v>
      </c>
      <c r="D119" s="28">
        <v>266.49</v>
      </c>
      <c r="E119" s="1">
        <f t="shared" si="4"/>
        <v>2.0487095044803727E-2</v>
      </c>
      <c r="F119" s="1">
        <f t="shared" si="5"/>
        <v>-9.4789690665766257E-2</v>
      </c>
      <c r="G119" s="2"/>
    </row>
    <row r="120" spans="1:7">
      <c r="A120" s="16">
        <v>41699</v>
      </c>
      <c r="B120" s="17">
        <v>38.189999</v>
      </c>
      <c r="C120" s="1">
        <f t="shared" si="3"/>
        <v>1.8399973333333319E-2</v>
      </c>
      <c r="D120" s="28">
        <v>267.27</v>
      </c>
      <c r="E120" s="1">
        <f t="shared" si="4"/>
        <v>2.9269390971518039E-3</v>
      </c>
      <c r="F120" s="1">
        <f t="shared" si="5"/>
        <v>1.5473034236181515E-2</v>
      </c>
      <c r="G120" s="2"/>
    </row>
    <row r="121" spans="1:7">
      <c r="A121" s="16">
        <v>41730</v>
      </c>
      <c r="B121" s="17">
        <v>40.970001000000003</v>
      </c>
      <c r="C121" s="1">
        <f t="shared" si="3"/>
        <v>7.2793979387116625E-2</v>
      </c>
      <c r="D121" s="29">
        <v>265.95</v>
      </c>
      <c r="E121" s="1">
        <f t="shared" si="4"/>
        <v>-4.9388259063867235E-3</v>
      </c>
      <c r="F121" s="1">
        <f t="shared" si="5"/>
        <v>7.7732805293503349E-2</v>
      </c>
      <c r="G121" s="2"/>
    </row>
    <row r="122" spans="1:7">
      <c r="A122" s="16">
        <v>41760</v>
      </c>
      <c r="B122" s="17">
        <v>40.849997999999999</v>
      </c>
      <c r="C122" s="1">
        <f t="shared" si="3"/>
        <v>-2.9290455716611818E-3</v>
      </c>
      <c r="D122" s="28">
        <v>274.72000000000003</v>
      </c>
      <c r="E122" s="1">
        <f t="shared" si="4"/>
        <v>3.2976123331453389E-2</v>
      </c>
      <c r="F122" s="1">
        <f t="shared" si="5"/>
        <v>-3.590516890311457E-2</v>
      </c>
      <c r="G122" s="2"/>
    </row>
    <row r="123" spans="1:7">
      <c r="A123" s="16">
        <v>41791</v>
      </c>
      <c r="B123" s="17">
        <v>42.400002000000001</v>
      </c>
      <c r="C123" s="1">
        <f t="shared" si="3"/>
        <v>3.7943796227358551E-2</v>
      </c>
      <c r="D123" s="28">
        <v>282.83999999999997</v>
      </c>
      <c r="E123" s="1">
        <f t="shared" si="4"/>
        <v>2.9557367501455767E-2</v>
      </c>
      <c r="F123" s="1">
        <f t="shared" si="5"/>
        <v>8.3864287259027837E-3</v>
      </c>
      <c r="G123" s="2"/>
    </row>
    <row r="124" spans="1:7">
      <c r="A124" s="16">
        <v>41821</v>
      </c>
      <c r="B124" s="17">
        <v>43.360000999999997</v>
      </c>
      <c r="C124" s="1">
        <f t="shared" si="3"/>
        <v>2.2641484781061871E-2</v>
      </c>
      <c r="D124" s="28">
        <v>288.69</v>
      </c>
      <c r="E124" s="1">
        <f t="shared" si="4"/>
        <v>2.0683071701315336E-2</v>
      </c>
      <c r="F124" s="1">
        <f t="shared" si="5"/>
        <v>1.9584130797465349E-3</v>
      </c>
      <c r="G124" s="2"/>
    </row>
    <row r="125" spans="1:7">
      <c r="A125" s="16">
        <v>41852</v>
      </c>
      <c r="B125" s="17">
        <v>43.849997999999999</v>
      </c>
      <c r="C125" s="1">
        <f t="shared" si="3"/>
        <v>1.1300668558563931E-2</v>
      </c>
      <c r="D125" s="29">
        <v>287.07</v>
      </c>
      <c r="E125" s="1">
        <f t="shared" si="4"/>
        <v>-5.6115556479268136E-3</v>
      </c>
      <c r="F125" s="1">
        <f t="shared" si="5"/>
        <v>1.6912224206490745E-2</v>
      </c>
      <c r="G125" s="2"/>
    </row>
    <row r="126" spans="1:7">
      <c r="A126" s="16">
        <v>41883</v>
      </c>
      <c r="B126" s="17">
        <v>45.43</v>
      </c>
      <c r="C126" s="1">
        <f t="shared" si="3"/>
        <v>3.6031974277399126E-2</v>
      </c>
      <c r="D126" s="29">
        <v>272.89999999999998</v>
      </c>
      <c r="E126" s="1">
        <f t="shared" si="4"/>
        <v>-4.936078308426517E-2</v>
      </c>
      <c r="F126" s="1">
        <f t="shared" si="5"/>
        <v>8.5392757361664295E-2</v>
      </c>
      <c r="G126" s="2"/>
    </row>
    <row r="127" spans="1:7">
      <c r="A127" s="16">
        <v>41913</v>
      </c>
      <c r="B127" s="17">
        <v>41.57</v>
      </c>
      <c r="C127" s="1">
        <f t="shared" si="3"/>
        <v>-8.4965881576051006E-2</v>
      </c>
      <c r="D127" s="28">
        <v>275.51</v>
      </c>
      <c r="E127" s="1">
        <f t="shared" si="4"/>
        <v>9.5639428362037648E-3</v>
      </c>
      <c r="F127" s="1">
        <f t="shared" si="5"/>
        <v>-9.452982441225477E-2</v>
      </c>
      <c r="G127" s="2"/>
    </row>
    <row r="128" spans="1:7">
      <c r="A128" s="16">
        <v>41944</v>
      </c>
      <c r="B128" s="17">
        <v>42.5</v>
      </c>
      <c r="C128" s="1">
        <f t="shared" si="3"/>
        <v>2.2371902814529721E-2</v>
      </c>
      <c r="D128" s="29">
        <v>273.51</v>
      </c>
      <c r="E128" s="1">
        <f t="shared" si="4"/>
        <v>-7.2592646364922908E-3</v>
      </c>
      <c r="F128" s="1">
        <f t="shared" si="5"/>
        <v>2.9631167451022011E-2</v>
      </c>
      <c r="G128" s="2"/>
    </row>
    <row r="129" spans="1:7">
      <c r="A129" s="16">
        <v>41974</v>
      </c>
      <c r="B129" s="17">
        <v>41.709999000000003</v>
      </c>
      <c r="C129" s="1">
        <f t="shared" si="3"/>
        <v>-1.8588258823529324E-2</v>
      </c>
      <c r="D129" s="29">
        <v>268.31</v>
      </c>
      <c r="E129" s="1">
        <f t="shared" si="4"/>
        <v>-1.9012101934115733E-2</v>
      </c>
      <c r="F129" s="1">
        <f t="shared" si="5"/>
        <v>4.2384311058640822E-4</v>
      </c>
      <c r="G129" s="2">
        <v>7.2999999999999995E-2</v>
      </c>
    </row>
    <row r="130" spans="1:7">
      <c r="A130" s="16">
        <v>42005</v>
      </c>
      <c r="B130" s="17">
        <v>39.950001</v>
      </c>
      <c r="C130" s="1">
        <f t="shared" si="3"/>
        <v>-4.2196069100840838E-2</v>
      </c>
      <c r="D130" s="28">
        <v>273.61</v>
      </c>
      <c r="E130" s="1">
        <f t="shared" si="4"/>
        <v>1.9753270470724171E-2</v>
      </c>
      <c r="F130" s="1">
        <f t="shared" si="5"/>
        <v>-6.194933957156501E-2</v>
      </c>
      <c r="G130" s="2"/>
    </row>
    <row r="131" spans="1:7">
      <c r="A131" s="16">
        <v>42036</v>
      </c>
      <c r="B131" s="17">
        <v>40.400002000000001</v>
      </c>
      <c r="C131" s="1">
        <f t="shared" si="3"/>
        <v>1.1264104849459278E-2</v>
      </c>
      <c r="D131" s="28">
        <v>284.85000000000002</v>
      </c>
      <c r="E131" s="1">
        <f t="shared" si="4"/>
        <v>4.1080369869522348E-2</v>
      </c>
      <c r="F131" s="1">
        <f t="shared" si="5"/>
        <v>-2.9816265020063071E-2</v>
      </c>
      <c r="G131" s="2"/>
    </row>
    <row r="132" spans="1:7">
      <c r="A132" s="16">
        <v>42064</v>
      </c>
      <c r="B132" s="17">
        <v>41.73</v>
      </c>
      <c r="C132" s="1">
        <f t="shared" si="3"/>
        <v>3.2920740944517579E-2</v>
      </c>
      <c r="D132" s="28">
        <v>285.06</v>
      </c>
      <c r="E132" s="1">
        <f t="shared" si="4"/>
        <v>7.3723012111637232E-4</v>
      </c>
      <c r="F132" s="1">
        <f t="shared" si="5"/>
        <v>3.2183510823401207E-2</v>
      </c>
      <c r="G132" s="2"/>
    </row>
    <row r="133" spans="1:7">
      <c r="A133" s="16">
        <v>42095</v>
      </c>
      <c r="B133" s="17">
        <v>41.290000999999997</v>
      </c>
      <c r="C133" s="1">
        <f t="shared" si="3"/>
        <v>-1.0543949197220237E-2</v>
      </c>
      <c r="D133" s="28">
        <v>298.72000000000003</v>
      </c>
      <c r="E133" s="1">
        <f t="shared" si="4"/>
        <v>4.791973619588874E-2</v>
      </c>
      <c r="F133" s="1">
        <f t="shared" si="5"/>
        <v>-5.8463685393108977E-2</v>
      </c>
      <c r="G133" s="2"/>
    </row>
    <row r="134" spans="1:7">
      <c r="A134" s="16">
        <v>42125</v>
      </c>
      <c r="B134" s="17">
        <v>44.060001</v>
      </c>
      <c r="C134" s="1">
        <f t="shared" si="3"/>
        <v>6.7086459988218605E-2</v>
      </c>
      <c r="D134" s="29">
        <v>295.64999999999998</v>
      </c>
      <c r="E134" s="1">
        <f t="shared" si="4"/>
        <v>-1.0277182645956229E-2</v>
      </c>
      <c r="F134" s="1">
        <f t="shared" si="5"/>
        <v>7.7363642634174834E-2</v>
      </c>
      <c r="G134" s="2"/>
    </row>
    <row r="135" spans="1:7">
      <c r="A135" s="16">
        <v>42156</v>
      </c>
      <c r="B135" s="17">
        <v>42.5</v>
      </c>
      <c r="C135" s="1">
        <f t="shared" si="3"/>
        <v>-3.5406286077932725E-2</v>
      </c>
      <c r="D135" s="29">
        <v>285.98</v>
      </c>
      <c r="E135" s="1">
        <f t="shared" si="4"/>
        <v>-3.2707593438186855E-2</v>
      </c>
      <c r="F135" s="1">
        <f t="shared" si="5"/>
        <v>-2.6986926397458699E-3</v>
      </c>
      <c r="G135" s="2"/>
    </row>
    <row r="136" spans="1:7">
      <c r="A136" s="16">
        <v>42186</v>
      </c>
      <c r="B136" s="17">
        <v>41.07</v>
      </c>
      <c r="C136" s="1">
        <f t="shared" si="3"/>
        <v>-3.3647058823529363E-2</v>
      </c>
      <c r="D136" s="29">
        <v>277.76</v>
      </c>
      <c r="E136" s="1">
        <f t="shared" si="4"/>
        <v>-2.8743268760053287E-2</v>
      </c>
      <c r="F136" s="1">
        <f t="shared" si="5"/>
        <v>-4.9037900634760767E-3</v>
      </c>
      <c r="G136" s="2"/>
    </row>
    <row r="137" spans="1:7">
      <c r="A137" s="16">
        <v>42217</v>
      </c>
      <c r="B137" s="17">
        <v>37.909999999999997</v>
      </c>
      <c r="C137" s="1">
        <f t="shared" si="3"/>
        <v>-7.6941806671536495E-2</v>
      </c>
      <c r="D137" s="29">
        <v>254.71</v>
      </c>
      <c r="E137" s="1">
        <f t="shared" si="4"/>
        <v>-8.2985311059907807E-2</v>
      </c>
      <c r="F137" s="1">
        <f t="shared" si="5"/>
        <v>6.0435043883713124E-3</v>
      </c>
      <c r="G137" s="2"/>
    </row>
    <row r="138" spans="1:7">
      <c r="A138" s="16">
        <v>42248</v>
      </c>
      <c r="B138" s="17">
        <v>33.590000000000003</v>
      </c>
      <c r="C138" s="1">
        <f t="shared" si="3"/>
        <v>-0.11395410182010002</v>
      </c>
      <c r="D138" s="29">
        <v>242.84</v>
      </c>
      <c r="E138" s="1">
        <f t="shared" si="4"/>
        <v>-4.6602017981233534E-2</v>
      </c>
      <c r="F138" s="1">
        <f t="shared" si="5"/>
        <v>-6.7352083838866483E-2</v>
      </c>
      <c r="G138" s="2"/>
    </row>
    <row r="139" spans="1:7">
      <c r="A139" s="16">
        <v>42278</v>
      </c>
      <c r="B139" s="17">
        <v>33.340000000000003</v>
      </c>
      <c r="C139" s="1">
        <f t="shared" si="3"/>
        <v>-7.4426912771657916E-3</v>
      </c>
      <c r="D139" s="28">
        <v>263.55</v>
      </c>
      <c r="E139" s="1">
        <f t="shared" si="4"/>
        <v>8.528249052874326E-2</v>
      </c>
      <c r="F139" s="1">
        <f t="shared" si="5"/>
        <v>-9.2725181805909052E-2</v>
      </c>
      <c r="G139" s="2"/>
    </row>
    <row r="140" spans="1:7">
      <c r="A140" s="16">
        <v>42309</v>
      </c>
      <c r="B140" s="17">
        <v>35.130001</v>
      </c>
      <c r="C140" s="1">
        <f t="shared" si="3"/>
        <v>5.3689292141571476E-2</v>
      </c>
      <c r="D140" s="29">
        <v>258.61</v>
      </c>
      <c r="E140" s="1">
        <f t="shared" si="4"/>
        <v>-1.8744071333712808E-2</v>
      </c>
      <c r="F140" s="1">
        <f t="shared" si="5"/>
        <v>7.2433363475284285E-2</v>
      </c>
      <c r="G140" s="2"/>
    </row>
    <row r="141" spans="1:7">
      <c r="A141" s="16">
        <v>42339</v>
      </c>
      <c r="B141" s="17">
        <v>34.189999</v>
      </c>
      <c r="C141" s="1">
        <f t="shared" si="3"/>
        <v>-2.6757813072649794E-2</v>
      </c>
      <c r="D141" s="28">
        <v>259.29000000000002</v>
      </c>
      <c r="E141" s="1">
        <f t="shared" si="4"/>
        <v>2.6294420169368227E-3</v>
      </c>
      <c r="F141" s="1">
        <f t="shared" si="5"/>
        <v>-2.9387255089586617E-2</v>
      </c>
      <c r="G141" s="2">
        <v>6.905E-2</v>
      </c>
    </row>
    <row r="142" spans="1:7">
      <c r="A142" s="16">
        <v>42370</v>
      </c>
      <c r="B142" s="17">
        <v>31.84</v>
      </c>
      <c r="C142" s="1">
        <f t="shared" ref="C142:C194" si="6">(B142/B141)-1</f>
        <v>-6.8733520583021956E-2</v>
      </c>
      <c r="D142" s="29">
        <v>238.45</v>
      </c>
      <c r="E142" s="1">
        <f t="shared" si="4"/>
        <v>-8.0373327162636565E-2</v>
      </c>
      <c r="F142" s="1">
        <f t="shared" si="5"/>
        <v>1.1639806579614609E-2</v>
      </c>
      <c r="G142" s="2"/>
    </row>
    <row r="143" spans="1:7">
      <c r="A143" s="16">
        <v>42401</v>
      </c>
      <c r="B143" s="17">
        <v>30.309999000000001</v>
      </c>
      <c r="C143" s="1">
        <f t="shared" si="6"/>
        <v>-4.8052795226130596E-2</v>
      </c>
      <c r="D143" s="29">
        <v>233.57</v>
      </c>
      <c r="E143" s="1">
        <f t="shared" si="4"/>
        <v>-2.0465506395470734E-2</v>
      </c>
      <c r="F143" s="1">
        <f t="shared" si="5"/>
        <v>-2.7587288830659862E-2</v>
      </c>
      <c r="G143" s="2"/>
    </row>
    <row r="144" spans="1:7">
      <c r="A144" s="16">
        <v>42430</v>
      </c>
      <c r="B144" s="17">
        <v>31.360001</v>
      </c>
      <c r="C144" s="1">
        <f t="shared" si="6"/>
        <v>3.464209946031338E-2</v>
      </c>
      <c r="D144" s="28">
        <v>252.87</v>
      </c>
      <c r="E144" s="1">
        <f t="shared" si="4"/>
        <v>8.263047480412733E-2</v>
      </c>
      <c r="F144" s="1">
        <f t="shared" si="5"/>
        <v>-4.7988375343813949E-2</v>
      </c>
      <c r="G144" s="2"/>
    </row>
    <row r="145" spans="1:7">
      <c r="A145" s="16">
        <v>42461</v>
      </c>
      <c r="B145" s="17">
        <v>34.009998000000003</v>
      </c>
      <c r="C145" s="1">
        <f t="shared" si="6"/>
        <v>8.4502452662549521E-2</v>
      </c>
      <c r="D145" s="28">
        <v>257.63</v>
      </c>
      <c r="E145" s="1">
        <f t="shared" si="4"/>
        <v>1.8823901609522631E-2</v>
      </c>
      <c r="F145" s="1">
        <f t="shared" si="5"/>
        <v>6.567855105302689E-2</v>
      </c>
      <c r="G145" s="2"/>
    </row>
    <row r="146" spans="1:7">
      <c r="A146" s="16">
        <v>42491</v>
      </c>
      <c r="B146" s="17">
        <v>34.919998</v>
      </c>
      <c r="C146" s="1">
        <f t="shared" si="6"/>
        <v>2.6756837798108668E-2</v>
      </c>
      <c r="D146" s="29">
        <v>253.71</v>
      </c>
      <c r="E146" s="1">
        <f t="shared" si="4"/>
        <v>-1.521561929899462E-2</v>
      </c>
      <c r="F146" s="1">
        <f t="shared" si="5"/>
        <v>4.1972457097103288E-2</v>
      </c>
      <c r="G146" s="2"/>
    </row>
    <row r="147" spans="1:7">
      <c r="A147" s="16">
        <v>42522</v>
      </c>
      <c r="B147" s="17">
        <v>33.689999</v>
      </c>
      <c r="C147" s="1">
        <f t="shared" si="6"/>
        <v>-3.522334107808367E-2</v>
      </c>
      <c r="D147" s="29">
        <v>253.38</v>
      </c>
      <c r="E147" s="1">
        <f t="shared" si="4"/>
        <v>-1.3006976469197573E-3</v>
      </c>
      <c r="F147" s="1">
        <f t="shared" si="5"/>
        <v>-3.3922643431163912E-2</v>
      </c>
      <c r="G147" s="2"/>
    </row>
    <row r="148" spans="1:7">
      <c r="A148" s="16">
        <v>42552</v>
      </c>
      <c r="B148" s="17">
        <v>35.369999</v>
      </c>
      <c r="C148" s="1">
        <f t="shared" si="6"/>
        <v>4.9866430687635299E-2</v>
      </c>
      <c r="D148" s="28">
        <v>268.38</v>
      </c>
      <c r="E148" s="1">
        <f t="shared" si="4"/>
        <v>5.9199621122424828E-2</v>
      </c>
      <c r="F148" s="1">
        <f t="shared" si="5"/>
        <v>-9.3331904347895289E-3</v>
      </c>
      <c r="G148" s="2"/>
    </row>
    <row r="149" spans="1:7">
      <c r="A149" s="16">
        <v>42583</v>
      </c>
      <c r="B149" s="17">
        <v>37.080002</v>
      </c>
      <c r="C149" s="1">
        <f t="shared" si="6"/>
        <v>4.8346142164154449E-2</v>
      </c>
      <c r="D149" s="28">
        <v>270.82</v>
      </c>
      <c r="E149" s="1">
        <f t="shared" si="4"/>
        <v>9.0915865563752085E-3</v>
      </c>
      <c r="F149" s="1">
        <f t="shared" si="5"/>
        <v>3.925455560777924E-2</v>
      </c>
      <c r="G149" s="2"/>
    </row>
    <row r="150" spans="1:7">
      <c r="A150" s="16">
        <v>42614</v>
      </c>
      <c r="B150" s="17">
        <v>37.340000000000003</v>
      </c>
      <c r="C150" s="1">
        <f t="shared" si="6"/>
        <v>7.0118119195354822E-3</v>
      </c>
      <c r="D150" s="28">
        <v>273.88</v>
      </c>
      <c r="E150" s="1">
        <f t="shared" ref="E150:E194" si="7">D150/D149-1</f>
        <v>1.1299017797799182E-2</v>
      </c>
      <c r="F150" s="1">
        <f t="shared" ref="F150:F194" si="8">C150-E150</f>
        <v>-4.2872058782637001E-3</v>
      </c>
      <c r="G150" s="2"/>
    </row>
    <row r="151" spans="1:7">
      <c r="A151" s="16">
        <v>42644</v>
      </c>
      <c r="B151" s="17">
        <v>37.700001</v>
      </c>
      <c r="C151" s="1">
        <f t="shared" si="6"/>
        <v>9.6411622924477136E-3</v>
      </c>
      <c r="D151" s="29">
        <v>273.20999999999998</v>
      </c>
      <c r="E151" s="1">
        <f t="shared" si="7"/>
        <v>-2.4463268584782316E-3</v>
      </c>
      <c r="F151" s="1">
        <f t="shared" si="8"/>
        <v>1.2087489150925945E-2</v>
      </c>
      <c r="G151" s="2"/>
    </row>
    <row r="152" spans="1:7">
      <c r="A152" s="16">
        <v>42675</v>
      </c>
      <c r="B152" s="17">
        <v>37.889999000000003</v>
      </c>
      <c r="C152" s="1">
        <f t="shared" si="6"/>
        <v>5.0397346143307153E-3</v>
      </c>
      <c r="D152" s="29">
        <v>266.89</v>
      </c>
      <c r="E152" s="1">
        <f t="shared" si="7"/>
        <v>-2.3132389004794862E-2</v>
      </c>
      <c r="F152" s="1">
        <f t="shared" si="8"/>
        <v>2.8172123619125577E-2</v>
      </c>
      <c r="G152" s="2"/>
    </row>
    <row r="153" spans="1:7">
      <c r="A153" s="16">
        <v>42705</v>
      </c>
      <c r="B153" s="17">
        <v>36.119999</v>
      </c>
      <c r="C153" s="1">
        <f t="shared" si="6"/>
        <v>-4.6714173837798301E-2</v>
      </c>
      <c r="D153" s="29">
        <v>266.39999999999998</v>
      </c>
      <c r="E153" s="1">
        <f t="shared" si="7"/>
        <v>-1.8359623815055182E-3</v>
      </c>
      <c r="F153" s="1">
        <f t="shared" si="8"/>
        <v>-4.4878211456292783E-2</v>
      </c>
      <c r="G153" s="2">
        <v>6.7369999999999999E-2</v>
      </c>
    </row>
    <row r="154" spans="1:7">
      <c r="A154" s="16">
        <v>42736</v>
      </c>
      <c r="B154" s="17">
        <v>36.18</v>
      </c>
      <c r="C154" s="1">
        <f t="shared" si="6"/>
        <v>1.6611572995890445E-3</v>
      </c>
      <c r="D154" s="28">
        <v>278.85000000000002</v>
      </c>
      <c r="E154" s="1">
        <f t="shared" si="7"/>
        <v>4.6734234234234506E-2</v>
      </c>
      <c r="F154" s="1">
        <f t="shared" si="8"/>
        <v>-4.5073076934645462E-2</v>
      </c>
      <c r="G154" s="2"/>
    </row>
    <row r="155" spans="1:7">
      <c r="A155" s="16">
        <v>42767</v>
      </c>
      <c r="B155" s="17">
        <v>38.090000000000003</v>
      </c>
      <c r="C155" s="1">
        <f t="shared" si="6"/>
        <v>5.2791597567717119E-2</v>
      </c>
      <c r="D155" s="28">
        <v>285.87</v>
      </c>
      <c r="E155" s="1">
        <f t="shared" si="7"/>
        <v>2.5174825174825166E-2</v>
      </c>
      <c r="F155" s="1">
        <f t="shared" si="8"/>
        <v>2.7616772392891953E-2</v>
      </c>
      <c r="G155" s="2"/>
    </row>
    <row r="156" spans="1:7">
      <c r="A156" s="16">
        <v>42795</v>
      </c>
      <c r="B156" s="17">
        <v>39.029998999999997</v>
      </c>
      <c r="C156" s="1">
        <f t="shared" si="6"/>
        <v>2.4678367025465775E-2</v>
      </c>
      <c r="D156" s="28">
        <v>289.24</v>
      </c>
      <c r="E156" s="1">
        <f t="shared" si="7"/>
        <v>1.1788575226501674E-2</v>
      </c>
      <c r="F156" s="1">
        <f t="shared" si="8"/>
        <v>1.2889791798964101E-2</v>
      </c>
      <c r="G156" s="2"/>
    </row>
    <row r="157" spans="1:7">
      <c r="A157" s="16">
        <v>42826</v>
      </c>
      <c r="B157" s="17">
        <v>39.93</v>
      </c>
      <c r="C157" s="1">
        <f t="shared" si="6"/>
        <v>2.3059211454245832E-2</v>
      </c>
      <c r="D157" s="28">
        <v>292.72000000000003</v>
      </c>
      <c r="E157" s="1">
        <f t="shared" si="7"/>
        <v>1.2031530908588106E-2</v>
      </c>
      <c r="F157" s="1">
        <f t="shared" si="8"/>
        <v>1.1027680545657725E-2</v>
      </c>
      <c r="G157" s="2"/>
    </row>
    <row r="158" spans="1:7">
      <c r="A158" s="16">
        <v>42856</v>
      </c>
      <c r="B158" s="17">
        <v>40.479999999999997</v>
      </c>
      <c r="C158" s="1">
        <f t="shared" si="6"/>
        <v>1.377410468319562E-2</v>
      </c>
      <c r="D158" s="28">
        <v>299.52</v>
      </c>
      <c r="E158" s="1">
        <f t="shared" si="7"/>
        <v>2.3230390817162938E-2</v>
      </c>
      <c r="F158" s="1">
        <f t="shared" si="8"/>
        <v>-9.4562861339673177E-3</v>
      </c>
      <c r="G158" s="2"/>
    </row>
    <row r="159" spans="1:7">
      <c r="A159" s="16">
        <v>42887</v>
      </c>
      <c r="B159" s="17">
        <v>40.840000000000003</v>
      </c>
      <c r="C159" s="1">
        <f t="shared" si="6"/>
        <v>8.8932806324111269E-3</v>
      </c>
      <c r="D159" s="28">
        <v>302.77</v>
      </c>
      <c r="E159" s="1">
        <f t="shared" si="7"/>
        <v>1.085069444444442E-2</v>
      </c>
      <c r="F159" s="1">
        <f t="shared" si="8"/>
        <v>-1.9574138120332929E-3</v>
      </c>
      <c r="G159" s="2"/>
    </row>
    <row r="160" spans="1:7">
      <c r="A160" s="16">
        <v>42917</v>
      </c>
      <c r="B160" s="17">
        <v>41.009998000000003</v>
      </c>
      <c r="C160" s="1">
        <f t="shared" si="6"/>
        <v>4.1625367286972637E-3</v>
      </c>
      <c r="D160" s="28">
        <v>312.76</v>
      </c>
      <c r="E160" s="1">
        <f t="shared" si="7"/>
        <v>3.2995342999636801E-2</v>
      </c>
      <c r="F160" s="1">
        <f t="shared" si="8"/>
        <v>-2.8832806270939537E-2</v>
      </c>
      <c r="G160" s="2"/>
    </row>
    <row r="161" spans="1:7">
      <c r="A161" s="16">
        <v>42948</v>
      </c>
      <c r="B161" s="17">
        <v>43.200001</v>
      </c>
      <c r="C161" s="1">
        <f t="shared" si="6"/>
        <v>5.3401685120784359E-2</v>
      </c>
      <c r="D161" s="28">
        <v>313.7</v>
      </c>
      <c r="E161" s="1">
        <f t="shared" si="7"/>
        <v>3.005499424478808E-3</v>
      </c>
      <c r="F161" s="1">
        <f t="shared" si="8"/>
        <v>5.0396185696305551E-2</v>
      </c>
      <c r="G161" s="2"/>
    </row>
    <row r="162" spans="1:7">
      <c r="A162" s="16">
        <v>42979</v>
      </c>
      <c r="B162" s="17">
        <v>44.5</v>
      </c>
      <c r="C162" s="1">
        <f t="shared" si="6"/>
        <v>3.0092568747857262E-2</v>
      </c>
      <c r="D162" s="28">
        <v>314.14</v>
      </c>
      <c r="E162" s="1">
        <f t="shared" si="7"/>
        <v>1.4026139623843914E-3</v>
      </c>
      <c r="F162" s="1">
        <f t="shared" si="8"/>
        <v>2.8689954785472871E-2</v>
      </c>
      <c r="G162" s="2"/>
    </row>
    <row r="163" spans="1:7">
      <c r="A163" s="16">
        <v>43009</v>
      </c>
      <c r="B163" s="17">
        <v>43.529998999999997</v>
      </c>
      <c r="C163" s="1">
        <f t="shared" si="6"/>
        <v>-2.179777528089899E-2</v>
      </c>
      <c r="D163" s="28">
        <v>327.72</v>
      </c>
      <c r="E163" s="1">
        <f t="shared" si="7"/>
        <v>4.3229133507353579E-2</v>
      </c>
      <c r="F163" s="1">
        <f t="shared" si="8"/>
        <v>-6.5026908788252569E-2</v>
      </c>
      <c r="G163" s="2"/>
    </row>
    <row r="164" spans="1:7">
      <c r="A164" s="16">
        <v>43040</v>
      </c>
      <c r="B164" s="17">
        <v>44.919998</v>
      </c>
      <c r="C164" s="1">
        <f t="shared" si="6"/>
        <v>3.1931978679806683E-2</v>
      </c>
      <c r="D164" s="28">
        <v>332.61</v>
      </c>
      <c r="E164" s="1">
        <f t="shared" si="7"/>
        <v>1.4921274258513417E-2</v>
      </c>
      <c r="F164" s="1">
        <f t="shared" si="8"/>
        <v>1.7010704421293266E-2</v>
      </c>
      <c r="G164" s="2"/>
    </row>
    <row r="165" spans="1:7">
      <c r="A165" s="16">
        <v>43070</v>
      </c>
      <c r="B165" s="17">
        <v>44.25</v>
      </c>
      <c r="C165" s="1">
        <f t="shared" si="6"/>
        <v>-1.4915361305225305E-2</v>
      </c>
      <c r="D165" s="28">
        <v>339.73</v>
      </c>
      <c r="E165" s="1">
        <f t="shared" si="7"/>
        <v>2.1406452000841902E-2</v>
      </c>
      <c r="F165" s="1">
        <f t="shared" si="8"/>
        <v>-3.6321813306067208E-2</v>
      </c>
      <c r="G165" s="2">
        <v>6.7570000000000005E-2</v>
      </c>
    </row>
    <row r="166" spans="1:7">
      <c r="A166" s="16">
        <v>43101</v>
      </c>
      <c r="B166" s="17">
        <v>46.529998999999997</v>
      </c>
      <c r="C166" s="1">
        <f t="shared" si="6"/>
        <v>5.1525401129943527E-2</v>
      </c>
      <c r="D166" s="28">
        <v>358.9</v>
      </c>
      <c r="E166" s="1">
        <f t="shared" si="7"/>
        <v>5.6427162746887083E-2</v>
      </c>
      <c r="F166" s="1">
        <f t="shared" si="8"/>
        <v>-4.9017616169435563E-3</v>
      </c>
      <c r="G166" s="2"/>
    </row>
    <row r="167" spans="1:7">
      <c r="A167" s="16">
        <v>43132</v>
      </c>
      <c r="B167" s="17">
        <v>49.560001</v>
      </c>
      <c r="C167" s="1">
        <f t="shared" si="6"/>
        <v>6.511932226776973E-2</v>
      </c>
      <c r="D167" s="29">
        <v>346.24</v>
      </c>
      <c r="E167" s="1">
        <f t="shared" si="7"/>
        <v>-3.5274449707439315E-2</v>
      </c>
      <c r="F167" s="1">
        <f t="shared" si="8"/>
        <v>0.10039377197520905</v>
      </c>
      <c r="G167" s="2"/>
    </row>
    <row r="168" spans="1:7">
      <c r="A168" s="16">
        <v>43160</v>
      </c>
      <c r="B168" s="17">
        <v>47.57</v>
      </c>
      <c r="C168" s="1">
        <f t="shared" si="6"/>
        <v>-4.0153368842748782E-2</v>
      </c>
      <c r="D168" s="29">
        <v>337.1</v>
      </c>
      <c r="E168" s="1">
        <f t="shared" si="7"/>
        <v>-2.6397874306839153E-2</v>
      </c>
      <c r="F168" s="1">
        <f t="shared" si="8"/>
        <v>-1.3755494535909629E-2</v>
      </c>
      <c r="G168" s="2"/>
    </row>
    <row r="169" spans="1:7">
      <c r="A169" s="16">
        <v>43191</v>
      </c>
      <c r="B169" s="17">
        <v>46.740001999999997</v>
      </c>
      <c r="C169" s="1">
        <f t="shared" si="6"/>
        <v>-1.7447929367248372E-2</v>
      </c>
      <c r="D169" s="28">
        <v>339.96</v>
      </c>
      <c r="E169" s="1">
        <f t="shared" si="7"/>
        <v>8.4841293384751992E-3</v>
      </c>
      <c r="F169" s="1">
        <f t="shared" si="8"/>
        <v>-2.5932058705723571E-2</v>
      </c>
      <c r="G169" s="2"/>
    </row>
    <row r="170" spans="1:7">
      <c r="A170" s="16">
        <v>43221</v>
      </c>
      <c r="B170" s="17">
        <v>45.389999000000003</v>
      </c>
      <c r="C170" s="1">
        <f t="shared" si="6"/>
        <v>-2.8883246517618755E-2</v>
      </c>
      <c r="D170" s="29">
        <v>335.76</v>
      </c>
      <c r="E170" s="1">
        <f t="shared" si="7"/>
        <v>-1.2354394634662924E-2</v>
      </c>
      <c r="F170" s="1">
        <f t="shared" si="8"/>
        <v>-1.6528851882955831E-2</v>
      </c>
      <c r="G170" s="2"/>
    </row>
    <row r="171" spans="1:7">
      <c r="A171" s="16">
        <v>43252</v>
      </c>
      <c r="B171" s="17">
        <v>44.830002</v>
      </c>
      <c r="C171" s="1">
        <f t="shared" si="6"/>
        <v>-1.233745345533066E-2</v>
      </c>
      <c r="D171" s="29">
        <v>323.67</v>
      </c>
      <c r="E171" s="1">
        <f t="shared" si="7"/>
        <v>-3.6007862759113607E-2</v>
      </c>
      <c r="F171" s="1">
        <f t="shared" si="8"/>
        <v>2.3670409303782947E-2</v>
      </c>
      <c r="G171" s="2"/>
    </row>
    <row r="172" spans="1:7">
      <c r="A172" s="16">
        <v>43282</v>
      </c>
      <c r="B172" s="17">
        <v>41.57</v>
      </c>
      <c r="C172" s="1">
        <f t="shared" si="6"/>
        <v>-7.2719202644693115E-2</v>
      </c>
      <c r="D172" s="28">
        <v>326.02</v>
      </c>
      <c r="E172" s="1">
        <f t="shared" si="7"/>
        <v>7.2604813544658864E-3</v>
      </c>
      <c r="F172" s="1">
        <f t="shared" si="8"/>
        <v>-7.9979683999159001E-2</v>
      </c>
      <c r="G172" s="2"/>
    </row>
    <row r="173" spans="1:7">
      <c r="A173" s="16">
        <v>43313</v>
      </c>
      <c r="B173" s="17">
        <v>43.52</v>
      </c>
      <c r="C173" s="1">
        <f t="shared" si="6"/>
        <v>4.6908828482078446E-2</v>
      </c>
      <c r="D173" s="29">
        <v>323.19</v>
      </c>
      <c r="E173" s="1">
        <f t="shared" si="7"/>
        <v>-8.6804490522053301E-3</v>
      </c>
      <c r="F173" s="1">
        <f t="shared" si="8"/>
        <v>5.5589277534283776E-2</v>
      </c>
      <c r="G173" s="2"/>
    </row>
    <row r="174" spans="1:7">
      <c r="A174" s="16">
        <v>43344</v>
      </c>
      <c r="B174" s="17">
        <v>41.240001999999997</v>
      </c>
      <c r="C174" s="1">
        <f t="shared" si="6"/>
        <v>-5.2389659926470711E-2</v>
      </c>
      <c r="D174" s="29">
        <v>323.10000000000002</v>
      </c>
      <c r="E174" s="1">
        <f t="shared" si="7"/>
        <v>-2.7847396268443347E-4</v>
      </c>
      <c r="F174" s="1">
        <f t="shared" si="8"/>
        <v>-5.2111185963786277E-2</v>
      </c>
      <c r="G174" s="2"/>
    </row>
    <row r="175" spans="1:7">
      <c r="A175" s="16">
        <v>43374</v>
      </c>
      <c r="B175" s="17">
        <v>41.23</v>
      </c>
      <c r="C175" s="1">
        <f t="shared" si="6"/>
        <v>-2.4253151103148518E-4</v>
      </c>
      <c r="D175" s="29">
        <v>291.92</v>
      </c>
      <c r="E175" s="1">
        <f t="shared" si="7"/>
        <v>-9.6502630764469188E-2</v>
      </c>
      <c r="F175" s="1">
        <f t="shared" si="8"/>
        <v>9.6260099253437703E-2</v>
      </c>
      <c r="G175" s="2"/>
    </row>
    <row r="176" spans="1:7">
      <c r="A176" s="16">
        <v>43405</v>
      </c>
      <c r="B176" s="17">
        <v>38.459999000000003</v>
      </c>
      <c r="C176" s="1">
        <f t="shared" si="6"/>
        <v>-6.7184113509580201E-2</v>
      </c>
      <c r="D176" s="28">
        <v>299.88</v>
      </c>
      <c r="E176" s="1">
        <f t="shared" si="7"/>
        <v>2.7267744587558207E-2</v>
      </c>
      <c r="F176" s="1">
        <f t="shared" si="8"/>
        <v>-9.4451858097138408E-2</v>
      </c>
      <c r="G176" s="2"/>
    </row>
    <row r="177" spans="1:7">
      <c r="A177" s="16">
        <v>43435</v>
      </c>
      <c r="B177" s="17">
        <v>40.689999</v>
      </c>
      <c r="C177" s="1">
        <f t="shared" si="6"/>
        <v>5.7982320800372245E-2</v>
      </c>
      <c r="D177" s="29">
        <v>286.18</v>
      </c>
      <c r="E177" s="1">
        <f t="shared" si="7"/>
        <v>-4.5684940642923832E-2</v>
      </c>
      <c r="F177" s="1">
        <f t="shared" si="8"/>
        <v>0.10366726144329608</v>
      </c>
      <c r="G177" s="2">
        <v>6.5670000000000006E-2</v>
      </c>
    </row>
    <row r="178" spans="1:7">
      <c r="A178" s="16">
        <v>43466</v>
      </c>
      <c r="B178" s="17">
        <v>37.770000000000003</v>
      </c>
      <c r="C178" s="1">
        <f t="shared" si="6"/>
        <v>-7.1762080898551961E-2</v>
      </c>
      <c r="D178" s="28">
        <v>305.2</v>
      </c>
      <c r="E178" s="1">
        <f t="shared" si="7"/>
        <v>6.6461667482004216E-2</v>
      </c>
      <c r="F178" s="1">
        <f t="shared" si="8"/>
        <v>-0.13822374838055618</v>
      </c>
      <c r="G178" s="2"/>
    </row>
    <row r="179" spans="1:7">
      <c r="A179" s="16">
        <v>43497</v>
      </c>
      <c r="B179" s="17">
        <v>41.560001</v>
      </c>
      <c r="C179" s="1">
        <f t="shared" si="6"/>
        <v>0.10034421498543811</v>
      </c>
      <c r="D179" s="28">
        <v>308.99</v>
      </c>
      <c r="E179" s="1">
        <f t="shared" si="7"/>
        <v>1.2418086500655345E-2</v>
      </c>
      <c r="F179" s="1">
        <f t="shared" si="8"/>
        <v>8.7926128484782762E-2</v>
      </c>
      <c r="G179" s="2"/>
    </row>
    <row r="180" spans="1:7">
      <c r="A180" s="16">
        <v>43525</v>
      </c>
      <c r="B180" s="17">
        <v>41.880001</v>
      </c>
      <c r="C180" s="1">
        <f t="shared" si="6"/>
        <v>7.6997110755603337E-3</v>
      </c>
      <c r="D180" s="28">
        <v>311.02999999999997</v>
      </c>
      <c r="E180" s="1">
        <f t="shared" si="7"/>
        <v>6.6021554095601065E-3</v>
      </c>
      <c r="F180" s="1">
        <f t="shared" si="8"/>
        <v>1.0975556660002272E-3</v>
      </c>
      <c r="G180" s="2"/>
    </row>
    <row r="181" spans="1:7">
      <c r="A181" s="16">
        <v>43556</v>
      </c>
      <c r="B181" s="17">
        <v>43.060001</v>
      </c>
      <c r="C181" s="1">
        <f t="shared" si="6"/>
        <v>2.8175739537350974E-2</v>
      </c>
      <c r="D181" s="28">
        <v>315.68</v>
      </c>
      <c r="E181" s="1">
        <f t="shared" si="7"/>
        <v>1.4950326335080311E-2</v>
      </c>
      <c r="F181" s="1">
        <f t="shared" si="8"/>
        <v>1.3225413202270664E-2</v>
      </c>
      <c r="G181" s="2"/>
    </row>
    <row r="182" spans="1:7">
      <c r="A182" s="16">
        <v>43586</v>
      </c>
      <c r="B182" s="17">
        <v>43.5</v>
      </c>
      <c r="C182" s="1">
        <f t="shared" si="6"/>
        <v>1.0218276585734376E-2</v>
      </c>
      <c r="D182" s="29">
        <v>296.94</v>
      </c>
      <c r="E182" s="1">
        <f t="shared" si="7"/>
        <v>-5.9363912823112042E-2</v>
      </c>
      <c r="F182" s="1">
        <f t="shared" si="8"/>
        <v>6.9582189408846418E-2</v>
      </c>
      <c r="G182" s="2"/>
    </row>
    <row r="183" spans="1:7">
      <c r="A183" s="16">
        <v>43617</v>
      </c>
      <c r="B183" s="17">
        <v>40.849997999999999</v>
      </c>
      <c r="C183" s="1">
        <f t="shared" si="6"/>
        <v>-6.0919586206896525E-2</v>
      </c>
      <c r="D183" s="28">
        <v>311.20999999999998</v>
      </c>
      <c r="E183" s="1">
        <f t="shared" si="7"/>
        <v>4.8056846500976524E-2</v>
      </c>
      <c r="F183" s="1">
        <f t="shared" si="8"/>
        <v>-0.10897643270787305</v>
      </c>
      <c r="G183" s="2"/>
    </row>
    <row r="184" spans="1:7">
      <c r="A184" s="16">
        <v>43647</v>
      </c>
      <c r="B184" s="17">
        <v>43.349997999999999</v>
      </c>
      <c r="C184" s="1">
        <f t="shared" si="6"/>
        <v>6.1199513400221006E-2</v>
      </c>
      <c r="D184" s="29">
        <v>307.92</v>
      </c>
      <c r="E184" s="1">
        <f t="shared" si="7"/>
        <v>-1.0571639728800375E-2</v>
      </c>
      <c r="F184" s="1">
        <f t="shared" si="8"/>
        <v>7.1771153129021381E-2</v>
      </c>
      <c r="G184" s="2"/>
    </row>
    <row r="185" spans="1:7">
      <c r="A185" s="16">
        <v>43678</v>
      </c>
      <c r="B185" s="17">
        <v>41.799999</v>
      </c>
      <c r="C185" s="1">
        <f t="shared" si="6"/>
        <v>-3.5755457243619726E-2</v>
      </c>
      <c r="D185" s="29">
        <v>297.73</v>
      </c>
      <c r="E185" s="1">
        <f t="shared" si="7"/>
        <v>-3.3093011171732911E-2</v>
      </c>
      <c r="F185" s="1">
        <f t="shared" si="8"/>
        <v>-2.6624460718868148E-3</v>
      </c>
      <c r="G185" s="2"/>
    </row>
    <row r="186" spans="1:7">
      <c r="A186" s="16">
        <v>43709</v>
      </c>
      <c r="B186" s="17">
        <v>40</v>
      </c>
      <c r="C186" s="1">
        <f t="shared" si="6"/>
        <v>-4.3062178063688505E-2</v>
      </c>
      <c r="D186" s="28">
        <v>304.29000000000002</v>
      </c>
      <c r="E186" s="1">
        <f t="shared" si="7"/>
        <v>2.2033385953716511E-2</v>
      </c>
      <c r="F186" s="1">
        <f t="shared" si="8"/>
        <v>-6.5095564017405017E-2</v>
      </c>
      <c r="G186" s="2"/>
    </row>
    <row r="187" spans="1:7">
      <c r="A187" s="16">
        <v>43739</v>
      </c>
      <c r="B187" s="17">
        <v>40.259998000000003</v>
      </c>
      <c r="C187" s="1">
        <f t="shared" si="6"/>
        <v>6.4999500000000321E-3</v>
      </c>
      <c r="D187" s="28">
        <v>317.41000000000003</v>
      </c>
      <c r="E187" s="1">
        <f t="shared" si="7"/>
        <v>4.3116763613658016E-2</v>
      </c>
      <c r="F187" s="1">
        <f t="shared" si="8"/>
        <v>-3.6616813613657984E-2</v>
      </c>
      <c r="G187" s="2"/>
    </row>
    <row r="188" spans="1:7">
      <c r="A188" s="16">
        <v>43770</v>
      </c>
      <c r="B188" s="17">
        <v>42.310001</v>
      </c>
      <c r="C188" s="1">
        <f t="shared" si="6"/>
        <v>5.0919103374023944E-2</v>
      </c>
      <c r="D188" s="28">
        <v>318.86</v>
      </c>
      <c r="E188" s="1">
        <f t="shared" si="7"/>
        <v>4.5682240635140925E-3</v>
      </c>
      <c r="F188" s="1">
        <f t="shared" si="8"/>
        <v>4.6350879310509852E-2</v>
      </c>
      <c r="G188" s="2"/>
    </row>
    <row r="189" spans="1:7">
      <c r="A189" s="16">
        <v>43800</v>
      </c>
      <c r="B189" s="17">
        <v>42.16</v>
      </c>
      <c r="C189" s="1">
        <f t="shared" si="6"/>
        <v>-3.5452847188541803E-3</v>
      </c>
      <c r="D189" s="28">
        <v>331.83</v>
      </c>
      <c r="E189" s="1">
        <f t="shared" si="7"/>
        <v>4.0676158815781127E-2</v>
      </c>
      <c r="F189" s="1">
        <f t="shared" si="8"/>
        <v>-4.4221443534635307E-2</v>
      </c>
      <c r="G189" s="2"/>
    </row>
    <row r="190" spans="1:7">
      <c r="A190" s="16">
        <v>43831</v>
      </c>
      <c r="B190" s="17">
        <v>45.07</v>
      </c>
      <c r="C190" s="1">
        <f t="shared" si="6"/>
        <v>6.9022770398482036E-2</v>
      </c>
      <c r="D190" s="29">
        <v>322.07</v>
      </c>
      <c r="E190" s="1">
        <f t="shared" si="7"/>
        <v>-2.9412651056263672E-2</v>
      </c>
      <c r="F190" s="1">
        <f t="shared" si="8"/>
        <v>9.8435421454745708E-2</v>
      </c>
      <c r="G190" s="2"/>
    </row>
    <row r="191" spans="1:7">
      <c r="A191" s="16">
        <v>43862</v>
      </c>
      <c r="B191" s="17">
        <v>42.060001</v>
      </c>
      <c r="C191" s="1">
        <f t="shared" si="6"/>
        <v>-6.6784978921677451E-2</v>
      </c>
      <c r="D191" s="29">
        <v>301.52</v>
      </c>
      <c r="E191" s="1">
        <f t="shared" si="7"/>
        <v>-6.3806004905765823E-2</v>
      </c>
      <c r="F191" s="1">
        <f t="shared" si="8"/>
        <v>-2.9789740159116285E-3</v>
      </c>
      <c r="G191" s="2"/>
    </row>
    <row r="192" spans="1:7">
      <c r="A192" s="16">
        <v>43891</v>
      </c>
      <c r="B192" s="17">
        <v>40.5</v>
      </c>
      <c r="C192" s="1">
        <f t="shared" si="6"/>
        <v>-3.7089894505708654E-2</v>
      </c>
      <c r="D192" s="29">
        <v>264.95999999999998</v>
      </c>
      <c r="E192" s="1">
        <f t="shared" si="7"/>
        <v>-0.12125232157070842</v>
      </c>
      <c r="F192" s="1">
        <f t="shared" si="8"/>
        <v>8.4162427064999767E-2</v>
      </c>
      <c r="G192" s="2"/>
    </row>
    <row r="193" spans="1:7">
      <c r="A193" s="16">
        <v>43922</v>
      </c>
      <c r="B193" s="17">
        <v>32.700001</v>
      </c>
      <c r="C193" s="1">
        <f t="shared" si="6"/>
        <v>-0.19259256790123458</v>
      </c>
      <c r="D193" s="28">
        <v>286.98</v>
      </c>
      <c r="E193" s="1">
        <f t="shared" si="7"/>
        <v>8.3106884057971175E-2</v>
      </c>
      <c r="F193" s="1">
        <f t="shared" si="8"/>
        <v>-0.27569945195920575</v>
      </c>
      <c r="G193" s="1"/>
    </row>
    <row r="194" spans="1:7">
      <c r="A194" s="16">
        <v>43952</v>
      </c>
      <c r="B194" s="17">
        <v>35.310001</v>
      </c>
      <c r="C194" s="1">
        <f t="shared" si="6"/>
        <v>7.9816511320595973E-2</v>
      </c>
      <c r="D194" s="28">
        <v>293.47000000000003</v>
      </c>
      <c r="E194" s="1">
        <f t="shared" si="7"/>
        <v>2.2614816363509593E-2</v>
      </c>
      <c r="F194" s="1">
        <f t="shared" si="8"/>
        <v>5.720169495708638E-2</v>
      </c>
      <c r="G194" s="1"/>
    </row>
  </sheetData>
  <conditionalFormatting sqref="C1:C8">
    <cfRule type="cellIs" dxfId="107" priority="13" operator="lessThan">
      <formula>0</formula>
    </cfRule>
    <cfRule type="cellIs" dxfId="106" priority="14" operator="greaterThan">
      <formula>0</formula>
    </cfRule>
  </conditionalFormatting>
  <conditionalFormatting sqref="E1:F8">
    <cfRule type="cellIs" dxfId="105" priority="11" operator="lessThan">
      <formula>0</formula>
    </cfRule>
    <cfRule type="cellIs" dxfId="104" priority="12" operator="greaterThan">
      <formula>0</formula>
    </cfRule>
  </conditionalFormatting>
  <conditionalFormatting sqref="G1:G8">
    <cfRule type="cellIs" dxfId="103" priority="9" operator="lessThan">
      <formula>0</formula>
    </cfRule>
    <cfRule type="cellIs" dxfId="102" priority="10" operator="greaterThan">
      <formula>0</formula>
    </cfRule>
  </conditionalFormatting>
  <conditionalFormatting sqref="C12:C194">
    <cfRule type="cellIs" dxfId="101" priority="7" operator="lessThan">
      <formula>0</formula>
    </cfRule>
    <cfRule type="cellIs" dxfId="100" priority="8" operator="greaterThan">
      <formula>0</formula>
    </cfRule>
  </conditionalFormatting>
  <conditionalFormatting sqref="E12:F194">
    <cfRule type="cellIs" dxfId="99" priority="5" operator="lessThan">
      <formula>0</formula>
    </cfRule>
    <cfRule type="cellIs" dxfId="98" priority="6" operator="greaterThan">
      <formula>0</formula>
    </cfRule>
  </conditionalFormatting>
  <conditionalFormatting sqref="G12:G194">
    <cfRule type="cellIs" dxfId="97" priority="3" operator="lessThan">
      <formula>0</formula>
    </cfRule>
    <cfRule type="cellIs" dxfId="96" priority="4" operator="greaterThan">
      <formula>0</formula>
    </cfRule>
  </conditionalFormatting>
  <conditionalFormatting sqref="M41:M44">
    <cfRule type="cellIs" dxfId="95" priority="1" operator="lessThan">
      <formula>0</formula>
    </cfRule>
    <cfRule type="cellIs" dxfId="94" priority="2"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C2B92-EB7F-D045-B4DA-985E5FBC05F8}">
  <dimension ref="A1:Y166"/>
  <sheetViews>
    <sheetView workbookViewId="0">
      <pane ySplit="11" topLeftCell="A31" activePane="bottomLeft" state="frozen"/>
      <selection pane="bottomLeft" activeCell="A7" sqref="A7"/>
    </sheetView>
  </sheetViews>
  <sheetFormatPr baseColWidth="10" defaultRowHeight="16"/>
  <cols>
    <col min="10" max="10" width="21.1640625" bestFit="1" customWidth="1"/>
    <col min="11" max="11" width="15.16406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5.0000000000000001E-4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118</v>
      </c>
      <c r="B3" s="8" t="s">
        <v>119</v>
      </c>
      <c r="C3" s="1"/>
      <c r="E3" s="1"/>
      <c r="F3" s="1"/>
      <c r="G3" s="9" t="s">
        <v>13</v>
      </c>
      <c r="H3" s="9">
        <f>SUBTOTAL(1,C13:C241)</f>
        <v>2.4281540269577785E-3</v>
      </c>
      <c r="J3" s="3" t="s">
        <v>14</v>
      </c>
      <c r="K3" s="10">
        <v>4.9757119593353973E-2</v>
      </c>
      <c r="L3" s="3">
        <v>99</v>
      </c>
      <c r="M3" s="9">
        <f>L3/$K$39</f>
        <v>0.6428571428571429</v>
      </c>
      <c r="N3" s="10">
        <f>K3*M3</f>
        <v>3.1986719738584697E-2</v>
      </c>
      <c r="P3" s="4" t="s">
        <v>15</v>
      </c>
      <c r="Q3" s="11">
        <f>$K$27+$K$31</f>
        <v>5.620262147383643E-2</v>
      </c>
      <c r="R3" s="11">
        <f>$K$27+$K$31*2</f>
        <v>0.10997708892071509</v>
      </c>
      <c r="S3" s="11">
        <f>$K$27+$K$31*3</f>
        <v>0.16375155636759375</v>
      </c>
      <c r="T3" s="6"/>
      <c r="U3" s="5">
        <v>1</v>
      </c>
      <c r="V3" s="5">
        <v>114</v>
      </c>
      <c r="W3" s="12">
        <f>Y3*$K$39</f>
        <v>105.02800000000001</v>
      </c>
      <c r="X3" s="13">
        <f>V3/$K$39</f>
        <v>0.74025974025974028</v>
      </c>
      <c r="Y3" s="13">
        <v>0.68200000000000005</v>
      </c>
    </row>
    <row r="4" spans="1:25">
      <c r="A4" t="s">
        <v>351</v>
      </c>
      <c r="C4" s="1"/>
      <c r="E4" s="1"/>
      <c r="F4" s="1"/>
      <c r="G4" s="9" t="s">
        <v>16</v>
      </c>
      <c r="H4" s="14">
        <f>SUBTOTAL(2,C13:C241)</f>
        <v>154</v>
      </c>
      <c r="J4" s="3" t="s">
        <v>17</v>
      </c>
      <c r="K4" s="10">
        <v>-5.0330241407073574E-2</v>
      </c>
      <c r="L4" s="3">
        <v>83</v>
      </c>
      <c r="M4" s="9">
        <f>L4/$K$39</f>
        <v>0.53896103896103897</v>
      </c>
      <c r="N4" s="10">
        <f>K4*M4</f>
        <v>-2.7126039199916279E-2</v>
      </c>
      <c r="P4" s="4" t="s">
        <v>18</v>
      </c>
      <c r="Q4" s="11">
        <f>$K$27-$K$31</f>
        <v>-5.1346313419920873E-2</v>
      </c>
      <c r="R4" s="11">
        <f>$K$27-$K$31*2</f>
        <v>-0.10512078086679952</v>
      </c>
      <c r="S4" s="11">
        <f>$K$27-$K$31*3</f>
        <v>-0.15889524831367818</v>
      </c>
      <c r="T4" s="6"/>
      <c r="U4" s="5">
        <v>2</v>
      </c>
      <c r="V4" s="5">
        <v>144</v>
      </c>
      <c r="W4" s="12">
        <f>Y4*$K$39</f>
        <v>146.916</v>
      </c>
      <c r="X4" s="13">
        <f>V4/$K$39</f>
        <v>0.93506493506493504</v>
      </c>
      <c r="Y4" s="13">
        <v>0.95399999999999996</v>
      </c>
    </row>
    <row r="5" spans="1:25">
      <c r="A5" t="s">
        <v>65</v>
      </c>
      <c r="C5" s="1"/>
      <c r="E5" s="1"/>
      <c r="F5" s="1"/>
      <c r="G5" s="1"/>
      <c r="J5" s="3" t="s">
        <v>19</v>
      </c>
      <c r="K5" s="3"/>
      <c r="L5" s="27">
        <f>K38-L4-$L$3</f>
        <v>-181.62606427984849</v>
      </c>
      <c r="M5" s="3"/>
      <c r="N5" s="3"/>
      <c r="P5" s="6"/>
      <c r="Q5" s="6"/>
      <c r="R5" s="6"/>
      <c r="S5" s="6"/>
      <c r="T5" s="6"/>
      <c r="U5" s="5">
        <v>3</v>
      </c>
      <c r="V5" s="5">
        <v>153</v>
      </c>
      <c r="W5" s="12">
        <f>Y5*$K$39</f>
        <v>153.69200000000001</v>
      </c>
      <c r="X5" s="13">
        <f>V5/$K$39</f>
        <v>0.99350649350649356</v>
      </c>
      <c r="Y5" s="13">
        <v>0.998</v>
      </c>
    </row>
    <row r="6" spans="1:25">
      <c r="A6" t="s">
        <v>120</v>
      </c>
      <c r="C6" s="1"/>
      <c r="E6" s="1"/>
      <c r="F6" s="1"/>
      <c r="G6" s="1"/>
    </row>
    <row r="7" spans="1:25">
      <c r="A7" t="s">
        <v>386</v>
      </c>
      <c r="C7" s="1"/>
      <c r="E7" s="1"/>
      <c r="F7" s="1"/>
      <c r="G7" s="1"/>
      <c r="P7" s="6"/>
      <c r="Q7" s="6"/>
      <c r="R7" s="6"/>
      <c r="S7" s="6"/>
      <c r="T7" s="6"/>
      <c r="U7" s="6"/>
      <c r="V7" s="6"/>
      <c r="W7" s="6"/>
      <c r="X7" s="6"/>
      <c r="Y7" s="6"/>
    </row>
    <row r="11" spans="1:25">
      <c r="A11" s="15" t="s">
        <v>20</v>
      </c>
      <c r="B11" s="15" t="s">
        <v>21</v>
      </c>
      <c r="C11" s="15" t="s">
        <v>22</v>
      </c>
      <c r="D11" s="15" t="s">
        <v>121</v>
      </c>
      <c r="E11" s="15" t="s">
        <v>122</v>
      </c>
      <c r="F11" s="15" t="s">
        <v>123</v>
      </c>
      <c r="G11" s="15" t="s">
        <v>124</v>
      </c>
    </row>
    <row r="12" spans="1:25">
      <c r="A12" s="16">
        <v>39264</v>
      </c>
      <c r="B12">
        <v>32.496398999999997</v>
      </c>
      <c r="D12" s="29">
        <v>502.44</v>
      </c>
      <c r="E12" s="1"/>
      <c r="F12" s="1"/>
      <c r="G12" s="2"/>
      <c r="J12" s="3" t="s">
        <v>27</v>
      </c>
      <c r="K12" s="18" t="s">
        <v>28</v>
      </c>
      <c r="L12" s="18" t="s">
        <v>29</v>
      </c>
      <c r="M12" s="18" t="s">
        <v>3</v>
      </c>
    </row>
    <row r="13" spans="1:25">
      <c r="A13" s="16">
        <v>39295</v>
      </c>
      <c r="B13">
        <v>32.469256999999999</v>
      </c>
      <c r="C13" s="1">
        <f>(B13/B12)-1</f>
        <v>-8.3523100513371862E-4</v>
      </c>
      <c r="D13" s="29">
        <v>492.35</v>
      </c>
      <c r="E13" s="1">
        <f>D13/D12-1</f>
        <v>-2.0081999840776965E-2</v>
      </c>
      <c r="F13" s="1">
        <f>C13-E13</f>
        <v>1.9246768835643246E-2</v>
      </c>
      <c r="G13" s="2"/>
      <c r="J13" s="19">
        <v>-0.2</v>
      </c>
      <c r="K13" s="19">
        <v>-0.2</v>
      </c>
      <c r="L13" s="19" t="s">
        <v>72</v>
      </c>
      <c r="M13" s="3">
        <v>1</v>
      </c>
    </row>
    <row r="14" spans="1:25">
      <c r="A14" s="16">
        <v>39326</v>
      </c>
      <c r="B14">
        <v>34.016067999999997</v>
      </c>
      <c r="C14" s="1">
        <f>(B14/B13)-1</f>
        <v>4.7639248412737034E-2</v>
      </c>
      <c r="D14" s="28">
        <v>519.69000000000005</v>
      </c>
      <c r="E14" s="1">
        <f t="shared" ref="E14:E77" si="0">D14/D13-1</f>
        <v>5.5529602924748733E-2</v>
      </c>
      <c r="F14" s="1">
        <f t="shared" ref="F14:F20" si="1">C14-E14</f>
        <v>-7.8903545120116991E-3</v>
      </c>
      <c r="G14" s="2">
        <v>-9.8124000000000006E-3</v>
      </c>
      <c r="J14" s="19">
        <v>-0.15</v>
      </c>
      <c r="K14" s="19">
        <v>-0.15</v>
      </c>
      <c r="L14" s="22" t="s">
        <v>73</v>
      </c>
      <c r="M14" s="3">
        <v>1</v>
      </c>
    </row>
    <row r="15" spans="1:25">
      <c r="A15" s="16">
        <v>39356</v>
      </c>
      <c r="B15">
        <v>35.522162999999999</v>
      </c>
      <c r="C15" s="1">
        <f t="shared" ref="C15:C78" si="2">(B15/B14)-1</f>
        <v>4.4275987453929133E-2</v>
      </c>
      <c r="D15" s="28">
        <v>542.65</v>
      </c>
      <c r="E15" s="1">
        <f t="shared" si="0"/>
        <v>4.4180184340664397E-2</v>
      </c>
      <c r="F15" s="1">
        <f t="shared" si="1"/>
        <v>9.5803113264736339E-5</v>
      </c>
      <c r="G15" s="2"/>
      <c r="J15" s="19">
        <v>-0.1</v>
      </c>
      <c r="K15" s="19">
        <v>-0.1</v>
      </c>
      <c r="L15" s="22" t="s">
        <v>31</v>
      </c>
      <c r="M15" s="3">
        <v>6</v>
      </c>
    </row>
    <row r="16" spans="1:25">
      <c r="A16" s="16">
        <v>39387</v>
      </c>
      <c r="B16">
        <v>34.185668999999997</v>
      </c>
      <c r="C16" s="1">
        <f t="shared" si="2"/>
        <v>-3.7624229132668607E-2</v>
      </c>
      <c r="D16" s="29">
        <v>519.67999999999995</v>
      </c>
      <c r="E16" s="1">
        <f t="shared" si="0"/>
        <v>-4.232930986823924E-2</v>
      </c>
      <c r="F16" s="1">
        <f t="shared" si="1"/>
        <v>4.7050807355706326E-3</v>
      </c>
      <c r="G16" s="2"/>
      <c r="J16" s="19">
        <v>-0.05</v>
      </c>
      <c r="K16" s="19">
        <v>-0.05</v>
      </c>
      <c r="L16" s="22" t="s">
        <v>32</v>
      </c>
      <c r="M16" s="3">
        <v>11</v>
      </c>
    </row>
    <row r="17" spans="1:13">
      <c r="A17" s="16">
        <v>39417</v>
      </c>
      <c r="B17">
        <v>32.50996</v>
      </c>
      <c r="C17" s="1">
        <f t="shared" si="2"/>
        <v>-4.9017879392677655E-2</v>
      </c>
      <c r="D17" s="29">
        <v>507.4</v>
      </c>
      <c r="E17" s="1">
        <f t="shared" si="0"/>
        <v>-2.3629926108374333E-2</v>
      </c>
      <c r="F17" s="1">
        <f t="shared" si="1"/>
        <v>-2.5387953284303322E-2</v>
      </c>
      <c r="G17" s="2">
        <v>5.2970000000000003E-4</v>
      </c>
      <c r="J17" s="19">
        <v>0</v>
      </c>
      <c r="K17" s="19">
        <v>0</v>
      </c>
      <c r="L17" s="22" t="s">
        <v>33</v>
      </c>
      <c r="M17" s="3">
        <v>51</v>
      </c>
    </row>
    <row r="18" spans="1:13">
      <c r="A18" s="16">
        <v>39448</v>
      </c>
      <c r="B18">
        <v>30.774609000000002</v>
      </c>
      <c r="C18" s="1">
        <f t="shared" si="2"/>
        <v>-5.3379056756760024E-2</v>
      </c>
      <c r="D18" s="29">
        <v>461.67</v>
      </c>
      <c r="E18" s="1">
        <f t="shared" si="0"/>
        <v>-9.0126133228222272E-2</v>
      </c>
      <c r="F18" s="1">
        <f t="shared" si="1"/>
        <v>3.6747076471462248E-2</v>
      </c>
      <c r="G18" s="2"/>
      <c r="J18" s="19">
        <v>0.05</v>
      </c>
      <c r="K18" s="19">
        <v>0.05</v>
      </c>
      <c r="L18" s="19" t="s">
        <v>34</v>
      </c>
      <c r="M18" s="3">
        <v>58</v>
      </c>
    </row>
    <row r="19" spans="1:13">
      <c r="A19" s="16">
        <v>39479</v>
      </c>
      <c r="B19">
        <v>30.462575999999999</v>
      </c>
      <c r="C19" s="1">
        <f t="shared" si="2"/>
        <v>-1.0139300226365333E-2</v>
      </c>
      <c r="D19" s="28">
        <v>470.65</v>
      </c>
      <c r="E19" s="1">
        <f t="shared" si="0"/>
        <v>1.9451123096584144E-2</v>
      </c>
      <c r="F19" s="1">
        <f t="shared" si="1"/>
        <v>-2.9590423322949477E-2</v>
      </c>
      <c r="G19" s="2"/>
      <c r="J19" s="19">
        <v>0.1</v>
      </c>
      <c r="K19" s="19">
        <v>0.1</v>
      </c>
      <c r="L19" s="19" t="s">
        <v>35</v>
      </c>
      <c r="M19" s="3">
        <v>22</v>
      </c>
    </row>
    <row r="20" spans="1:13">
      <c r="A20" s="16">
        <v>39508</v>
      </c>
      <c r="B20">
        <v>30.566579999999998</v>
      </c>
      <c r="C20" s="1">
        <f t="shared" si="2"/>
        <v>3.4141564390353096E-3</v>
      </c>
      <c r="D20" s="29">
        <v>461.28</v>
      </c>
      <c r="E20" s="1">
        <f t="shared" si="0"/>
        <v>-1.990863699139489E-2</v>
      </c>
      <c r="F20" s="1">
        <f t="shared" si="1"/>
        <v>2.33227934304302E-2</v>
      </c>
      <c r="G20" s="2">
        <v>4.0869999999999996E-4</v>
      </c>
      <c r="J20" s="10"/>
      <c r="K20" s="3" t="s">
        <v>37</v>
      </c>
      <c r="L20" s="3" t="s">
        <v>91</v>
      </c>
      <c r="M20" s="3">
        <v>4</v>
      </c>
    </row>
    <row r="21" spans="1:13">
      <c r="A21" s="16">
        <v>39539</v>
      </c>
      <c r="B21">
        <v>32.221828000000002</v>
      </c>
      <c r="C21" s="1">
        <f t="shared" si="2"/>
        <v>5.4152214608242266E-2</v>
      </c>
      <c r="D21" s="28">
        <v>484.72</v>
      </c>
      <c r="E21" s="1">
        <f t="shared" si="0"/>
        <v>5.0815123135622642E-2</v>
      </c>
      <c r="F21" s="1">
        <f>C21-E21</f>
        <v>3.3370914726196244E-3</v>
      </c>
      <c r="G21" s="2"/>
      <c r="J21" s="2"/>
      <c r="K21" s="2"/>
    </row>
    <row r="22" spans="1:13">
      <c r="A22" s="16">
        <v>39569</v>
      </c>
      <c r="B22">
        <v>32.610287</v>
      </c>
      <c r="C22" s="1">
        <f t="shared" si="2"/>
        <v>1.2055771634061241E-2</v>
      </c>
      <c r="D22" s="28">
        <v>489.25</v>
      </c>
      <c r="E22" s="1">
        <f t="shared" si="0"/>
        <v>9.3456015844197715E-3</v>
      </c>
      <c r="F22" s="1">
        <f t="shared" ref="F22:F85" si="3">C22-E22</f>
        <v>2.7101700496414693E-3</v>
      </c>
      <c r="G22" s="2"/>
      <c r="J22" s="2"/>
      <c r="K22" s="2"/>
    </row>
    <row r="23" spans="1:13">
      <c r="A23" s="16">
        <v>39600</v>
      </c>
      <c r="B23">
        <v>29.780037</v>
      </c>
      <c r="C23" s="1">
        <f t="shared" si="2"/>
        <v>-8.6790097860837578E-2</v>
      </c>
      <c r="D23" s="29">
        <v>448.51</v>
      </c>
      <c r="E23" s="1">
        <f t="shared" si="0"/>
        <v>-8.3270311701584054E-2</v>
      </c>
      <c r="F23" s="1">
        <f t="shared" si="3"/>
        <v>-3.519786159253524E-3</v>
      </c>
      <c r="G23" s="2">
        <v>-5.6530999999999994E-3</v>
      </c>
      <c r="J23" s="2"/>
      <c r="K23" s="2"/>
    </row>
    <row r="24" spans="1:13">
      <c r="A24" s="16">
        <v>39630</v>
      </c>
      <c r="B24">
        <v>28.746441000000001</v>
      </c>
      <c r="C24" s="1">
        <f t="shared" si="2"/>
        <v>-3.4707680181861433E-2</v>
      </c>
      <c r="D24" s="29">
        <v>432.89</v>
      </c>
      <c r="E24" s="1">
        <f t="shared" si="0"/>
        <v>-3.4826425274798734E-2</v>
      </c>
      <c r="F24" s="1">
        <f t="shared" si="3"/>
        <v>1.1874509293730018E-4</v>
      </c>
      <c r="G24" s="2"/>
      <c r="J24" s="2"/>
      <c r="K24" s="2"/>
    </row>
    <row r="25" spans="1:13">
      <c r="A25" s="16">
        <v>39661</v>
      </c>
      <c r="B25">
        <v>27.594923000000001</v>
      </c>
      <c r="C25" s="1">
        <f t="shared" si="2"/>
        <v>-4.0057758802211407E-2</v>
      </c>
      <c r="D25" s="29">
        <v>412.74</v>
      </c>
      <c r="E25" s="1">
        <f t="shared" si="0"/>
        <v>-4.6547621797685235E-2</v>
      </c>
      <c r="F25" s="1">
        <f t="shared" si="3"/>
        <v>6.4898629954738274E-3</v>
      </c>
      <c r="G25" s="2"/>
    </row>
    <row r="26" spans="1:13">
      <c r="A26" s="16">
        <v>39692</v>
      </c>
      <c r="B26">
        <v>24.397020000000001</v>
      </c>
      <c r="C26" s="1">
        <f t="shared" si="2"/>
        <v>-0.11588736812202738</v>
      </c>
      <c r="D26" s="29">
        <v>352.59</v>
      </c>
      <c r="E26" s="1">
        <f t="shared" si="0"/>
        <v>-0.14573339148132003</v>
      </c>
      <c r="F26" s="1">
        <f t="shared" si="3"/>
        <v>2.984602335929265E-2</v>
      </c>
      <c r="G26" s="2">
        <v>-1.95678E-2</v>
      </c>
      <c r="J26" s="23" t="s">
        <v>125</v>
      </c>
    </row>
    <row r="27" spans="1:13">
      <c r="A27" s="16">
        <v>39722</v>
      </c>
      <c r="B27">
        <v>19.381657000000001</v>
      </c>
      <c r="C27" s="1">
        <f t="shared" si="2"/>
        <v>-0.20557277077282388</v>
      </c>
      <c r="D27" s="29">
        <v>277.23</v>
      </c>
      <c r="E27" s="1">
        <f t="shared" si="0"/>
        <v>-0.21373266400068058</v>
      </c>
      <c r="F27" s="1">
        <f t="shared" si="3"/>
        <v>8.1598932278567071E-3</v>
      </c>
      <c r="G27" s="2"/>
      <c r="J27" s="3" t="s">
        <v>40</v>
      </c>
      <c r="K27" s="24">
        <v>2.4281540269577785E-3</v>
      </c>
    </row>
    <row r="28" spans="1:13">
      <c r="A28" s="16">
        <v>39753</v>
      </c>
      <c r="B28">
        <v>18.098333</v>
      </c>
      <c r="C28" s="1">
        <f t="shared" si="2"/>
        <v>-6.6213327374434527E-2</v>
      </c>
      <c r="D28" s="29">
        <v>260.05</v>
      </c>
      <c r="E28" s="1">
        <f t="shared" si="0"/>
        <v>-6.1970205244742615E-2</v>
      </c>
      <c r="F28" s="1">
        <f t="shared" si="3"/>
        <v>-4.2431221296919119E-3</v>
      </c>
      <c r="G28" s="2"/>
      <c r="J28" s="3" t="s">
        <v>41</v>
      </c>
      <c r="K28" s="24">
        <v>4.333270074693008E-3</v>
      </c>
    </row>
    <row r="29" spans="1:13">
      <c r="A29" s="16">
        <v>39783</v>
      </c>
      <c r="B29">
        <v>19.055613999999998</v>
      </c>
      <c r="C29" s="1">
        <f t="shared" si="2"/>
        <v>5.2893324484636128E-2</v>
      </c>
      <c r="D29" s="28">
        <v>276.41000000000003</v>
      </c>
      <c r="E29" s="1">
        <f t="shared" si="0"/>
        <v>6.2910978657950478E-2</v>
      </c>
      <c r="F29" s="1">
        <f t="shared" si="3"/>
        <v>-1.001765417331435E-2</v>
      </c>
      <c r="G29" s="2">
        <v>-1.2184299999999999E-2</v>
      </c>
      <c r="J29" s="3" t="s">
        <v>42</v>
      </c>
      <c r="K29" s="24">
        <v>3.4463569123101001E-3</v>
      </c>
    </row>
    <row r="30" spans="1:13">
      <c r="A30" s="16">
        <v>39814</v>
      </c>
      <c r="B30">
        <v>16.965240000000001</v>
      </c>
      <c r="C30" s="1">
        <f t="shared" si="2"/>
        <v>-0.10969859066204835</v>
      </c>
      <c r="D30" s="29">
        <v>250</v>
      </c>
      <c r="E30" s="1">
        <f t="shared" si="0"/>
        <v>-9.5546470822329255E-2</v>
      </c>
      <c r="F30" s="1">
        <f t="shared" si="3"/>
        <v>-1.4152119839719091E-2</v>
      </c>
      <c r="G30" s="2"/>
      <c r="J30" s="3" t="s">
        <v>43</v>
      </c>
      <c r="K30" s="3" t="e">
        <v>#N/A</v>
      </c>
    </row>
    <row r="31" spans="1:13">
      <c r="A31" s="16">
        <v>39845</v>
      </c>
      <c r="B31">
        <v>15.255787</v>
      </c>
      <c r="C31" s="1">
        <f t="shared" si="2"/>
        <v>-0.10076208765687966</v>
      </c>
      <c r="D31" s="29">
        <v>225.48</v>
      </c>
      <c r="E31" s="1">
        <f t="shared" si="0"/>
        <v>-9.8080000000000056E-2</v>
      </c>
      <c r="F31" s="1">
        <f t="shared" si="3"/>
        <v>-2.6820876568796059E-3</v>
      </c>
      <c r="G31" s="2"/>
      <c r="J31" s="3" t="s">
        <v>44</v>
      </c>
      <c r="K31" s="24">
        <v>5.3774467446878652E-2</v>
      </c>
    </row>
    <row r="32" spans="1:13">
      <c r="A32" s="16">
        <v>39873</v>
      </c>
      <c r="B32">
        <v>16.527103</v>
      </c>
      <c r="C32" s="1">
        <f t="shared" si="2"/>
        <v>8.3333360645373444E-2</v>
      </c>
      <c r="D32" s="28">
        <v>238.44</v>
      </c>
      <c r="E32" s="1">
        <f t="shared" si="0"/>
        <v>5.7477381585949949E-2</v>
      </c>
      <c r="F32" s="1">
        <f t="shared" si="3"/>
        <v>2.5855979059423495E-2</v>
      </c>
      <c r="G32" s="2">
        <v>-4.6622000000000004E-2</v>
      </c>
      <c r="J32" s="3" t="s">
        <v>45</v>
      </c>
      <c r="K32" s="24">
        <v>2.8916933491954116E-3</v>
      </c>
    </row>
    <row r="33" spans="1:13">
      <c r="A33" s="16">
        <v>39904</v>
      </c>
      <c r="B33">
        <v>18.496369999999999</v>
      </c>
      <c r="C33" s="1">
        <f t="shared" si="2"/>
        <v>0.11915379240995816</v>
      </c>
      <c r="D33" s="28">
        <v>268.68</v>
      </c>
      <c r="E33" s="1">
        <f t="shared" si="0"/>
        <v>0.12682435832913952</v>
      </c>
      <c r="F33" s="1">
        <f t="shared" si="3"/>
        <v>-7.6705659191813602E-3</v>
      </c>
      <c r="G33" s="2"/>
      <c r="J33" s="3" t="s">
        <v>46</v>
      </c>
      <c r="K33" s="25">
        <v>1.2122786024004784</v>
      </c>
    </row>
    <row r="34" spans="1:13">
      <c r="A34" s="16">
        <v>39934</v>
      </c>
      <c r="B34">
        <v>20.911764000000002</v>
      </c>
      <c r="C34" s="1">
        <f t="shared" si="2"/>
        <v>0.13058746121536302</v>
      </c>
      <c r="D34" s="28">
        <v>302.57</v>
      </c>
      <c r="E34" s="1">
        <f t="shared" si="0"/>
        <v>0.1261351793955634</v>
      </c>
      <c r="F34" s="1">
        <f t="shared" si="3"/>
        <v>4.4522818197996195E-3</v>
      </c>
      <c r="G34" s="2"/>
      <c r="J34" s="3" t="s">
        <v>47</v>
      </c>
      <c r="K34" s="25">
        <v>-0.53792540095243946</v>
      </c>
    </row>
    <row r="35" spans="1:13">
      <c r="A35" s="16">
        <v>39965</v>
      </c>
      <c r="B35">
        <v>20.530756</v>
      </c>
      <c r="C35" s="1">
        <f t="shared" si="2"/>
        <v>-1.8219792457489503E-2</v>
      </c>
      <c r="D35" s="29">
        <v>299.72000000000003</v>
      </c>
      <c r="E35" s="1">
        <f t="shared" si="0"/>
        <v>-9.4193079287436809E-3</v>
      </c>
      <c r="F35" s="1">
        <f t="shared" si="3"/>
        <v>-8.8004845287458222E-3</v>
      </c>
      <c r="G35" s="2">
        <v>1.1787700000000002E-2</v>
      </c>
      <c r="J35" s="3" t="s">
        <v>48</v>
      </c>
      <c r="K35" s="24">
        <v>0.3361602319881869</v>
      </c>
    </row>
    <row r="36" spans="1:13">
      <c r="A36" s="16">
        <v>39995</v>
      </c>
      <c r="B36">
        <v>22.701730999999999</v>
      </c>
      <c r="C36" s="1">
        <f t="shared" si="2"/>
        <v>0.10574257470109716</v>
      </c>
      <c r="D36" s="28">
        <v>329.15</v>
      </c>
      <c r="E36" s="1">
        <f t="shared" si="0"/>
        <v>9.8191645535833372E-2</v>
      </c>
      <c r="F36" s="1">
        <f t="shared" si="3"/>
        <v>7.5509291652637867E-3</v>
      </c>
      <c r="G36" s="2"/>
      <c r="J36" s="3" t="s">
        <v>49</v>
      </c>
      <c r="K36" s="24">
        <v>-0.20557277077282388</v>
      </c>
    </row>
    <row r="37" spans="1:13">
      <c r="A37" s="16">
        <v>40026</v>
      </c>
      <c r="B37">
        <v>23.722521</v>
      </c>
      <c r="C37" s="1">
        <f t="shared" si="2"/>
        <v>4.4965293615715884E-2</v>
      </c>
      <c r="D37" s="28">
        <v>342.26</v>
      </c>
      <c r="E37" s="1">
        <f t="shared" si="0"/>
        <v>3.9829864803281323E-2</v>
      </c>
      <c r="F37" s="1">
        <f t="shared" si="3"/>
        <v>5.1354288124345615E-3</v>
      </c>
      <c r="G37" s="2"/>
      <c r="J37" s="3" t="s">
        <v>50</v>
      </c>
      <c r="K37" s="24">
        <v>0.13058746121536302</v>
      </c>
    </row>
    <row r="38" spans="1:13">
      <c r="A38" s="16">
        <v>40057</v>
      </c>
      <c r="B38">
        <v>24.657039999999999</v>
      </c>
      <c r="C38" s="1">
        <f t="shared" si="2"/>
        <v>3.9393747401467172E-2</v>
      </c>
      <c r="D38" s="28">
        <v>357.67</v>
      </c>
      <c r="E38" s="1">
        <f t="shared" si="0"/>
        <v>4.5024250569742463E-2</v>
      </c>
      <c r="F38" s="1">
        <f t="shared" si="3"/>
        <v>-5.6305031682752915E-3</v>
      </c>
      <c r="G38" s="2">
        <v>-7.7092000000000003E-3</v>
      </c>
      <c r="J38" s="3" t="s">
        <v>51</v>
      </c>
      <c r="K38" s="25">
        <v>0.3739357201514979</v>
      </c>
    </row>
    <row r="39" spans="1:13">
      <c r="A39" s="16">
        <v>40087</v>
      </c>
      <c r="B39">
        <v>23.974119000000002</v>
      </c>
      <c r="C39" s="1">
        <f t="shared" si="2"/>
        <v>-2.769679572243855E-2</v>
      </c>
      <c r="D39" s="29">
        <v>350.34</v>
      </c>
      <c r="E39" s="1">
        <f t="shared" si="0"/>
        <v>-2.0493751223194634E-2</v>
      </c>
      <c r="F39" s="1">
        <f t="shared" si="3"/>
        <v>-7.2030444992439158E-3</v>
      </c>
      <c r="G39" s="2"/>
      <c r="J39" s="3" t="s">
        <v>16</v>
      </c>
      <c r="K39" s="3">
        <v>154</v>
      </c>
    </row>
    <row r="40" spans="1:13">
      <c r="A40" s="16">
        <v>40118</v>
      </c>
      <c r="B40">
        <v>24.958969</v>
      </c>
      <c r="C40" s="1">
        <f t="shared" si="2"/>
        <v>4.1079716005413935E-2</v>
      </c>
      <c r="D40" s="28">
        <v>358.37</v>
      </c>
      <c r="E40" s="1">
        <f t="shared" si="0"/>
        <v>2.2920591425472425E-2</v>
      </c>
      <c r="F40" s="1">
        <f t="shared" si="3"/>
        <v>1.815912457994151E-2</v>
      </c>
      <c r="G40" s="2"/>
    </row>
    <row r="41" spans="1:13">
      <c r="A41" s="16">
        <v>40148</v>
      </c>
      <c r="B41">
        <v>24.585159000000001</v>
      </c>
      <c r="C41" s="1">
        <f t="shared" si="2"/>
        <v>-1.4976980820000985E-2</v>
      </c>
      <c r="D41" s="28">
        <v>364.45</v>
      </c>
      <c r="E41" s="1">
        <f t="shared" si="0"/>
        <v>1.6965705834751654E-2</v>
      </c>
      <c r="F41" s="1">
        <f t="shared" si="3"/>
        <v>-3.1942686654752639E-2</v>
      </c>
      <c r="G41" s="2">
        <v>7.1184000000000004E-3</v>
      </c>
    </row>
    <row r="42" spans="1:13">
      <c r="A42" s="16">
        <v>40179</v>
      </c>
      <c r="B42">
        <v>23.789639000000001</v>
      </c>
      <c r="C42" s="1">
        <f t="shared" si="2"/>
        <v>-3.2357732565406638E-2</v>
      </c>
      <c r="D42" s="29">
        <v>347.98</v>
      </c>
      <c r="E42" s="1">
        <f t="shared" si="0"/>
        <v>-4.5191384277678659E-2</v>
      </c>
      <c r="F42" s="1">
        <f t="shared" si="3"/>
        <v>1.2833651712272021E-2</v>
      </c>
      <c r="G42" s="2"/>
    </row>
    <row r="43" spans="1:13">
      <c r="A43" s="16">
        <v>40210</v>
      </c>
      <c r="B43">
        <v>23.966187999999999</v>
      </c>
      <c r="C43" s="1">
        <f t="shared" si="2"/>
        <v>7.4212559509623244E-3</v>
      </c>
      <c r="D43" s="29">
        <v>346.32</v>
      </c>
      <c r="E43" s="1">
        <f t="shared" si="0"/>
        <v>-4.7703891028221257E-3</v>
      </c>
      <c r="F43" s="1">
        <f t="shared" si="3"/>
        <v>1.219164505378445E-2</v>
      </c>
      <c r="G43" s="2"/>
      <c r="J43" s="3" t="s">
        <v>75</v>
      </c>
      <c r="K43" s="3" t="s">
        <v>126</v>
      </c>
      <c r="L43" s="3" t="s">
        <v>54</v>
      </c>
      <c r="M43" s="3" t="s">
        <v>55</v>
      </c>
    </row>
    <row r="44" spans="1:13">
      <c r="A44" s="16">
        <v>40238</v>
      </c>
      <c r="B44">
        <v>25.466829000000001</v>
      </c>
      <c r="C44" s="1">
        <f t="shared" si="2"/>
        <v>6.2614922323066313E-2</v>
      </c>
      <c r="D44" s="28">
        <v>368.59</v>
      </c>
      <c r="E44" s="1">
        <f t="shared" si="0"/>
        <v>6.4304689304689244E-2</v>
      </c>
      <c r="F44" s="1">
        <f t="shared" si="3"/>
        <v>-1.689766981622931E-3</v>
      </c>
      <c r="G44" s="2">
        <v>8.5345999999999998E-3</v>
      </c>
      <c r="J44" s="3" t="s">
        <v>56</v>
      </c>
      <c r="K44" s="9">
        <v>-2.35E-2</v>
      </c>
      <c r="L44" s="9">
        <v>8.1900000000000001E-2</v>
      </c>
      <c r="M44" s="9">
        <f>K44-L44</f>
        <v>-0.10539999999999999</v>
      </c>
    </row>
    <row r="45" spans="1:13">
      <c r="A45" s="16">
        <v>40269</v>
      </c>
      <c r="B45">
        <v>24.768591000000001</v>
      </c>
      <c r="C45" s="1">
        <f t="shared" si="2"/>
        <v>-2.7417547744165605E-2</v>
      </c>
      <c r="D45" s="29">
        <v>363.91</v>
      </c>
      <c r="E45" s="1">
        <f t="shared" si="0"/>
        <v>-1.269703464554095E-2</v>
      </c>
      <c r="F45" s="1">
        <f t="shared" si="3"/>
        <v>-1.4720513098624655E-2</v>
      </c>
      <c r="G45" s="2"/>
      <c r="J45" s="3" t="s">
        <v>57</v>
      </c>
      <c r="K45" s="9">
        <v>-1.8E-3</v>
      </c>
      <c r="L45" s="9">
        <v>7.7999999999999996E-3</v>
      </c>
      <c r="M45" s="9">
        <f>K45-L45</f>
        <v>-9.5999999999999992E-3</v>
      </c>
    </row>
    <row r="46" spans="1:13">
      <c r="A46" s="16">
        <v>40299</v>
      </c>
      <c r="B46">
        <v>21.913506000000002</v>
      </c>
      <c r="C46" s="1">
        <f t="shared" si="2"/>
        <v>-0.11527038417324587</v>
      </c>
      <c r="D46" s="29">
        <v>321.66000000000003</v>
      </c>
      <c r="E46" s="1">
        <f t="shared" si="0"/>
        <v>-0.11610013464867686</v>
      </c>
      <c r="F46" s="1">
        <f t="shared" si="3"/>
        <v>8.2975047543099034E-4</v>
      </c>
      <c r="G46" s="2"/>
      <c r="J46" s="3" t="s">
        <v>58</v>
      </c>
      <c r="K46" s="9">
        <v>1.15E-2</v>
      </c>
      <c r="L46" s="9">
        <v>7.1499999999999994E-2</v>
      </c>
      <c r="M46" s="9">
        <f>K46-L46</f>
        <v>-0.06</v>
      </c>
    </row>
    <row r="47" spans="1:13">
      <c r="A47" s="16">
        <v>40330</v>
      </c>
      <c r="B47">
        <v>21.516144000000001</v>
      </c>
      <c r="C47" s="1">
        <f t="shared" si="2"/>
        <v>-1.8133200593278054E-2</v>
      </c>
      <c r="D47" s="29">
        <v>317.3</v>
      </c>
      <c r="E47" s="1">
        <f t="shared" si="0"/>
        <v>-1.3554685071193173E-2</v>
      </c>
      <c r="F47" s="1">
        <f t="shared" si="3"/>
        <v>-4.5785155220848806E-3</v>
      </c>
      <c r="G47" s="2">
        <v>8.5339999999999999E-3</v>
      </c>
      <c r="J47" s="3" t="s">
        <v>59</v>
      </c>
      <c r="K47" s="9">
        <v>5.57E-2</v>
      </c>
      <c r="L47" s="9">
        <v>1.7600000000000001E-2</v>
      </c>
      <c r="M47" s="9">
        <f>K47-L47</f>
        <v>3.8099999999999995E-2</v>
      </c>
    </row>
    <row r="48" spans="1:13">
      <c r="A48" s="16">
        <v>40360</v>
      </c>
      <c r="B48">
        <v>24.025383000000001</v>
      </c>
      <c r="C48" s="1">
        <f t="shared" si="2"/>
        <v>0.11662122172076939</v>
      </c>
      <c r="D48" s="28">
        <v>346.46</v>
      </c>
      <c r="E48" s="1">
        <f t="shared" si="0"/>
        <v>9.1900409706901831E-2</v>
      </c>
      <c r="F48" s="1">
        <f t="shared" si="3"/>
        <v>2.4720812013867555E-2</v>
      </c>
      <c r="G48" s="2"/>
    </row>
    <row r="49" spans="1:11">
      <c r="A49" s="16">
        <v>40391</v>
      </c>
      <c r="B49">
        <v>23.164439999999999</v>
      </c>
      <c r="C49" s="1">
        <f t="shared" si="2"/>
        <v>-3.5834725298656056E-2</v>
      </c>
      <c r="D49" s="29">
        <v>334.88</v>
      </c>
      <c r="E49" s="1">
        <f t="shared" si="0"/>
        <v>-3.342377186399581E-2</v>
      </c>
      <c r="F49" s="1">
        <f t="shared" si="3"/>
        <v>-2.4109534346602457E-3</v>
      </c>
      <c r="G49" s="2"/>
    </row>
    <row r="50" spans="1:11">
      <c r="A50" s="16">
        <v>40422</v>
      </c>
      <c r="B50">
        <v>25.401406999999999</v>
      </c>
      <c r="C50" s="1">
        <f t="shared" si="2"/>
        <v>9.6569008359364661E-2</v>
      </c>
      <c r="D50" s="28">
        <v>367.97</v>
      </c>
      <c r="E50" s="1">
        <f t="shared" si="0"/>
        <v>9.881151457238424E-2</v>
      </c>
      <c r="F50" s="1">
        <f t="shared" si="3"/>
        <v>-2.2425062130195794E-3</v>
      </c>
      <c r="G50" s="2">
        <v>1.141E-2</v>
      </c>
      <c r="J50" s="23" t="s">
        <v>77</v>
      </c>
      <c r="K50" s="3"/>
    </row>
    <row r="51" spans="1:11">
      <c r="A51" s="16">
        <v>40452</v>
      </c>
      <c r="B51">
        <v>26.431602000000002</v>
      </c>
      <c r="C51" s="1">
        <f t="shared" si="2"/>
        <v>4.0556611686903832E-2</v>
      </c>
      <c r="D51" s="28">
        <v>380.62</v>
      </c>
      <c r="E51" s="1">
        <f t="shared" si="0"/>
        <v>3.4377802538250402E-2</v>
      </c>
      <c r="F51" s="1">
        <f t="shared" si="3"/>
        <v>6.1788091486534302E-3</v>
      </c>
      <c r="G51" s="2"/>
      <c r="J51" s="3" t="s">
        <v>127</v>
      </c>
      <c r="K51" s="30">
        <v>0.23699999999999999</v>
      </c>
    </row>
    <row r="52" spans="1:11">
      <c r="A52" s="16">
        <v>40483</v>
      </c>
      <c r="B52">
        <v>25.136505</v>
      </c>
      <c r="C52" s="1">
        <f t="shared" si="2"/>
        <v>-4.8998051650444907E-2</v>
      </c>
      <c r="D52" s="29">
        <v>364.38</v>
      </c>
      <c r="E52" s="1">
        <f t="shared" si="0"/>
        <v>-4.2667227155693377E-2</v>
      </c>
      <c r="F52" s="1">
        <f t="shared" si="3"/>
        <v>-6.3308244947515302E-3</v>
      </c>
      <c r="G52" s="2"/>
      <c r="J52" s="3" t="s">
        <v>128</v>
      </c>
      <c r="K52" s="30">
        <v>0.129</v>
      </c>
    </row>
    <row r="53" spans="1:11">
      <c r="A53" s="16">
        <v>40513</v>
      </c>
      <c r="B53">
        <v>26.600843000000001</v>
      </c>
      <c r="C53" s="1">
        <f t="shared" si="2"/>
        <v>5.8255433681015045E-2</v>
      </c>
      <c r="D53" s="28">
        <v>394.95</v>
      </c>
      <c r="E53" s="1">
        <f t="shared" si="0"/>
        <v>8.3895932817388497E-2</v>
      </c>
      <c r="F53" s="1">
        <f t="shared" si="3"/>
        <v>-2.5640499136373451E-2</v>
      </c>
      <c r="G53" s="2">
        <v>-1.13133E-2</v>
      </c>
      <c r="J53" s="3" t="s">
        <v>79</v>
      </c>
      <c r="K53" s="30">
        <v>8.3000000000000004E-2</v>
      </c>
    </row>
    <row r="54" spans="1:11">
      <c r="A54" s="16">
        <v>40544</v>
      </c>
      <c r="B54">
        <v>27.847836000000001</v>
      </c>
      <c r="C54" s="1">
        <f t="shared" si="2"/>
        <v>4.6877950446908789E-2</v>
      </c>
      <c r="D54" s="28">
        <v>402.98</v>
      </c>
      <c r="E54" s="1">
        <f t="shared" si="0"/>
        <v>2.0331687555386724E-2</v>
      </c>
      <c r="F54" s="1">
        <f t="shared" si="3"/>
        <v>2.6546262891522066E-2</v>
      </c>
      <c r="G54" s="2"/>
      <c r="J54" s="3" t="s">
        <v>129</v>
      </c>
      <c r="K54" s="30">
        <v>8.1000000000000003E-2</v>
      </c>
    </row>
    <row r="55" spans="1:11">
      <c r="A55" s="16">
        <v>40575</v>
      </c>
      <c r="B55">
        <v>28.865815999999999</v>
      </c>
      <c r="C55" s="1">
        <f t="shared" si="2"/>
        <v>3.6555084567432727E-2</v>
      </c>
      <c r="D55" s="28">
        <v>414.41</v>
      </c>
      <c r="E55" s="1">
        <f t="shared" si="0"/>
        <v>2.8363690505732286E-2</v>
      </c>
      <c r="F55" s="1">
        <f t="shared" si="3"/>
        <v>8.191394061700441E-3</v>
      </c>
      <c r="G55" s="2"/>
      <c r="J55" s="3" t="s">
        <v>80</v>
      </c>
      <c r="K55" s="30">
        <v>7.6999999999999999E-2</v>
      </c>
    </row>
    <row r="56" spans="1:11">
      <c r="A56" s="16">
        <v>40603</v>
      </c>
      <c r="B56">
        <v>28.134373</v>
      </c>
      <c r="C56" s="1">
        <f t="shared" si="2"/>
        <v>-2.5339418778253076E-2</v>
      </c>
      <c r="D56" s="29">
        <v>408.71</v>
      </c>
      <c r="E56" s="1">
        <f t="shared" si="0"/>
        <v>-1.3754494341352896E-2</v>
      </c>
      <c r="F56" s="1">
        <f t="shared" si="3"/>
        <v>-1.1584924436900179E-2</v>
      </c>
      <c r="G56" s="2">
        <v>-1.58084E-2</v>
      </c>
      <c r="J56" s="3" t="s">
        <v>81</v>
      </c>
      <c r="K56" s="30">
        <v>7.4999999999999997E-2</v>
      </c>
    </row>
    <row r="57" spans="1:11">
      <c r="A57" s="16">
        <v>40634</v>
      </c>
      <c r="B57">
        <v>29.886023000000002</v>
      </c>
      <c r="C57" s="1">
        <f t="shared" si="2"/>
        <v>6.2260139936297865E-2</v>
      </c>
      <c r="D57" s="28">
        <v>430.05</v>
      </c>
      <c r="E57" s="1">
        <f t="shared" si="0"/>
        <v>5.2213060605319273E-2</v>
      </c>
      <c r="F57" s="1">
        <f t="shared" si="3"/>
        <v>1.0047079330978592E-2</v>
      </c>
      <c r="G57" s="2"/>
      <c r="J57" s="3" t="s">
        <v>95</v>
      </c>
      <c r="K57" s="30">
        <v>0.06</v>
      </c>
    </row>
    <row r="58" spans="1:11">
      <c r="A58" s="16">
        <v>40664</v>
      </c>
      <c r="B58">
        <v>29.078904999999999</v>
      </c>
      <c r="C58" s="1">
        <f t="shared" si="2"/>
        <v>-2.7006537470710024E-2</v>
      </c>
      <c r="D58" s="29">
        <v>415.06</v>
      </c>
      <c r="E58" s="1">
        <f t="shared" si="0"/>
        <v>-3.4856412045111029E-2</v>
      </c>
      <c r="F58" s="1">
        <f t="shared" si="3"/>
        <v>7.8498745744010057E-3</v>
      </c>
      <c r="G58" s="2"/>
    </row>
    <row r="59" spans="1:11">
      <c r="A59" s="16">
        <v>40695</v>
      </c>
      <c r="B59">
        <v>28.724374999999998</v>
      </c>
      <c r="C59" s="1">
        <f t="shared" si="2"/>
        <v>-1.2191999664361464E-2</v>
      </c>
      <c r="D59" s="29">
        <v>408.18</v>
      </c>
      <c r="E59" s="1">
        <f t="shared" si="0"/>
        <v>-1.6575916734929863E-2</v>
      </c>
      <c r="F59" s="1">
        <f t="shared" si="3"/>
        <v>4.3839170705683994E-3</v>
      </c>
      <c r="G59" s="2">
        <v>-1.51529E-2</v>
      </c>
    </row>
    <row r="60" spans="1:11">
      <c r="A60" s="16">
        <v>40725</v>
      </c>
      <c r="B60">
        <v>28.037951</v>
      </c>
      <c r="C60" s="1">
        <f t="shared" si="2"/>
        <v>-2.3896916817163105E-2</v>
      </c>
      <c r="D60" s="29">
        <v>401.85</v>
      </c>
      <c r="E60" s="1">
        <f t="shared" si="0"/>
        <v>-1.5507864177568664E-2</v>
      </c>
      <c r="F60" s="1">
        <f t="shared" si="3"/>
        <v>-8.3890526395944409E-3</v>
      </c>
      <c r="G60" s="2"/>
      <c r="J60" t="s">
        <v>60</v>
      </c>
    </row>
    <row r="61" spans="1:11">
      <c r="A61" s="16">
        <v>40756</v>
      </c>
      <c r="B61">
        <v>25.631679999999999</v>
      </c>
      <c r="C61" s="1">
        <f t="shared" si="2"/>
        <v>-8.5821927572382162E-2</v>
      </c>
      <c r="D61" s="29">
        <v>365.88</v>
      </c>
      <c r="E61" s="1">
        <f t="shared" si="0"/>
        <v>-8.9511011571482002E-2</v>
      </c>
      <c r="F61" s="1">
        <f t="shared" si="3"/>
        <v>3.6890839990998403E-3</v>
      </c>
      <c r="G61" s="2"/>
      <c r="J61" t="s">
        <v>61</v>
      </c>
    </row>
    <row r="62" spans="1:11">
      <c r="A62" s="16">
        <v>40787</v>
      </c>
      <c r="B62">
        <v>22.727556</v>
      </c>
      <c r="C62" s="1">
        <f t="shared" si="2"/>
        <v>-0.11330213236120301</v>
      </c>
      <c r="D62" s="29">
        <v>325.57</v>
      </c>
      <c r="E62" s="1">
        <f t="shared" si="0"/>
        <v>-0.11017273422980212</v>
      </c>
      <c r="F62" s="1">
        <f t="shared" si="3"/>
        <v>-3.1293981314008956E-3</v>
      </c>
      <c r="G62" s="2">
        <v>2.1600600000000001E-2</v>
      </c>
      <c r="J62" t="s">
        <v>62</v>
      </c>
    </row>
    <row r="63" spans="1:11">
      <c r="A63" s="16">
        <v>40817</v>
      </c>
      <c r="B63">
        <v>24.945247999999999</v>
      </c>
      <c r="C63" s="1">
        <f t="shared" si="2"/>
        <v>9.7577231797382868E-2</v>
      </c>
      <c r="D63" s="28">
        <v>358.17</v>
      </c>
      <c r="E63" s="1">
        <f t="shared" si="0"/>
        <v>0.1001320760512332</v>
      </c>
      <c r="F63" s="1">
        <f t="shared" si="3"/>
        <v>-2.5548442538503302E-3</v>
      </c>
      <c r="G63" s="2"/>
    </row>
    <row r="64" spans="1:11">
      <c r="A64" s="16">
        <v>40848</v>
      </c>
      <c r="B64">
        <v>24.424772000000001</v>
      </c>
      <c r="C64" s="1">
        <f t="shared" si="2"/>
        <v>-2.0864735439791948E-2</v>
      </c>
      <c r="D64" s="29">
        <v>339.59</v>
      </c>
      <c r="E64" s="1">
        <f t="shared" si="0"/>
        <v>-5.1874808052042476E-2</v>
      </c>
      <c r="F64" s="1">
        <f t="shared" si="3"/>
        <v>3.1010072612250528E-2</v>
      </c>
      <c r="G64" s="2"/>
    </row>
    <row r="65" spans="1:7">
      <c r="A65" s="16">
        <v>40878</v>
      </c>
      <c r="B65">
        <v>23.104714999999999</v>
      </c>
      <c r="C65" s="1">
        <f t="shared" si="2"/>
        <v>-5.4045826917033302E-2</v>
      </c>
      <c r="D65" s="29">
        <v>335.05</v>
      </c>
      <c r="E65" s="1">
        <f t="shared" si="0"/>
        <v>-1.3369062693247669E-2</v>
      </c>
      <c r="F65" s="1">
        <f t="shared" si="3"/>
        <v>-4.0676764223785633E-2</v>
      </c>
      <c r="G65" s="2">
        <v>-1.6294E-3</v>
      </c>
    </row>
    <row r="66" spans="1:7">
      <c r="A66" s="16">
        <v>40909</v>
      </c>
      <c r="B66">
        <v>25.244986000000001</v>
      </c>
      <c r="C66" s="1">
        <f t="shared" si="2"/>
        <v>9.2633516578759068E-2</v>
      </c>
      <c r="D66" s="28">
        <v>355.08</v>
      </c>
      <c r="E66" s="1">
        <f t="shared" si="0"/>
        <v>5.97821220713326E-2</v>
      </c>
      <c r="F66" s="1">
        <f t="shared" si="3"/>
        <v>3.2851394507426468E-2</v>
      </c>
      <c r="G66" s="2"/>
    </row>
    <row r="67" spans="1:7">
      <c r="A67" s="16">
        <v>40940</v>
      </c>
      <c r="B67">
        <v>26.477965999999999</v>
      </c>
      <c r="C67" s="1">
        <f t="shared" si="2"/>
        <v>4.8840589572915594E-2</v>
      </c>
      <c r="D67" s="28">
        <v>373.89</v>
      </c>
      <c r="E67" s="1">
        <f t="shared" si="0"/>
        <v>5.2973977695167207E-2</v>
      </c>
      <c r="F67" s="1">
        <f t="shared" si="3"/>
        <v>-4.1333881222516133E-3</v>
      </c>
      <c r="G67" s="2"/>
    </row>
    <row r="68" spans="1:7">
      <c r="A68" s="16">
        <v>40969</v>
      </c>
      <c r="B68">
        <v>26.556011000000002</v>
      </c>
      <c r="C68" s="1">
        <f t="shared" si="2"/>
        <v>2.9475451399856301E-3</v>
      </c>
      <c r="D68" s="29">
        <v>369.21</v>
      </c>
      <c r="E68" s="1">
        <f t="shared" si="0"/>
        <v>-1.2517050469389446E-2</v>
      </c>
      <c r="F68" s="1">
        <f t="shared" si="3"/>
        <v>1.5464595609375076E-2</v>
      </c>
      <c r="G68" s="2">
        <v>1.3526499999999999E-2</v>
      </c>
    </row>
    <row r="69" spans="1:7">
      <c r="A69" s="16">
        <v>41000</v>
      </c>
      <c r="B69">
        <v>25.932302</v>
      </c>
      <c r="C69" s="1">
        <f t="shared" si="2"/>
        <v>-2.348654698177377E-2</v>
      </c>
      <c r="D69" s="29">
        <v>362.29</v>
      </c>
      <c r="E69" s="1">
        <f t="shared" si="0"/>
        <v>-1.8742720944719737E-2</v>
      </c>
      <c r="F69" s="1">
        <f t="shared" si="3"/>
        <v>-4.7438260370540331E-3</v>
      </c>
      <c r="G69" s="2"/>
    </row>
    <row r="70" spans="1:7">
      <c r="A70" s="16">
        <v>41030</v>
      </c>
      <c r="B70">
        <v>23.036193999999998</v>
      </c>
      <c r="C70" s="1">
        <f t="shared" si="2"/>
        <v>-0.11167955702505705</v>
      </c>
      <c r="D70" s="29">
        <v>318.8</v>
      </c>
      <c r="E70" s="1">
        <f t="shared" si="0"/>
        <v>-0.12004195533964501</v>
      </c>
      <c r="F70" s="1">
        <f t="shared" si="3"/>
        <v>8.3623983145879599E-3</v>
      </c>
      <c r="G70" s="2"/>
    </row>
    <row r="71" spans="1:7">
      <c r="A71" s="16">
        <v>41061</v>
      </c>
      <c r="B71">
        <v>24.644278</v>
      </c>
      <c r="C71" s="1">
        <f t="shared" si="2"/>
        <v>6.9806843960421583E-2</v>
      </c>
      <c r="D71" s="28">
        <v>337.4</v>
      </c>
      <c r="E71" s="1">
        <f t="shared" si="0"/>
        <v>5.8343789209535757E-2</v>
      </c>
      <c r="F71" s="1">
        <f t="shared" si="3"/>
        <v>1.1463054750885826E-2</v>
      </c>
      <c r="G71" s="2">
        <v>-1.33568E-2</v>
      </c>
    </row>
    <row r="72" spans="1:7">
      <c r="A72" s="16">
        <v>41091</v>
      </c>
      <c r="B72">
        <v>24.706720000000001</v>
      </c>
      <c r="C72" s="1">
        <f t="shared" si="2"/>
        <v>2.5337321710134919E-3</v>
      </c>
      <c r="D72" s="28">
        <v>341.56</v>
      </c>
      <c r="E72" s="1">
        <f t="shared" si="0"/>
        <v>1.2329579134558566E-2</v>
      </c>
      <c r="F72" s="1">
        <f t="shared" si="3"/>
        <v>-9.795846963545074E-3</v>
      </c>
      <c r="G72" s="2"/>
    </row>
    <row r="73" spans="1:7">
      <c r="A73" s="16">
        <v>41122</v>
      </c>
      <c r="B73">
        <v>25.518574000000001</v>
      </c>
      <c r="C73" s="1">
        <f t="shared" si="2"/>
        <v>3.2859643044483411E-2</v>
      </c>
      <c r="D73" s="28">
        <v>350.23</v>
      </c>
      <c r="E73" s="1">
        <f t="shared" si="0"/>
        <v>2.5383534371706373E-2</v>
      </c>
      <c r="F73" s="1">
        <f t="shared" si="3"/>
        <v>7.4761086727770376E-3</v>
      </c>
      <c r="G73" s="2"/>
    </row>
    <row r="74" spans="1:7">
      <c r="A74" s="16">
        <v>41153</v>
      </c>
      <c r="B74">
        <v>25.666893000000002</v>
      </c>
      <c r="C74" s="1">
        <f t="shared" si="2"/>
        <v>5.8121978132477103E-3</v>
      </c>
      <c r="D74" s="28">
        <v>361.11</v>
      </c>
      <c r="E74" s="1">
        <f t="shared" si="0"/>
        <v>3.1065299945749913E-2</v>
      </c>
      <c r="F74" s="1">
        <f t="shared" si="3"/>
        <v>-2.5253102132502203E-2</v>
      </c>
      <c r="G74" s="2">
        <v>-5.2326999999999999E-3</v>
      </c>
    </row>
    <row r="75" spans="1:7">
      <c r="A75" s="16">
        <v>41183</v>
      </c>
      <c r="B75">
        <v>26.468551999999999</v>
      </c>
      <c r="C75" s="1">
        <f t="shared" si="2"/>
        <v>3.1233192112500641E-2</v>
      </c>
      <c r="D75" s="28">
        <v>363.15</v>
      </c>
      <c r="E75" s="1">
        <f t="shared" si="0"/>
        <v>5.6492481515326709E-3</v>
      </c>
      <c r="F75" s="1">
        <f t="shared" si="3"/>
        <v>2.558394396096797E-2</v>
      </c>
      <c r="G75" s="2"/>
    </row>
    <row r="76" spans="1:7">
      <c r="A76" s="16">
        <v>41214</v>
      </c>
      <c r="B76">
        <v>27.185434000000001</v>
      </c>
      <c r="C76" s="1">
        <f t="shared" si="2"/>
        <v>2.7084292333029891E-2</v>
      </c>
      <c r="D76" s="28">
        <v>369.73</v>
      </c>
      <c r="E76" s="1">
        <f t="shared" si="0"/>
        <v>1.8119234476111856E-2</v>
      </c>
      <c r="F76" s="1">
        <f t="shared" si="3"/>
        <v>8.965057856918035E-3</v>
      </c>
      <c r="G76" s="2"/>
    </row>
    <row r="77" spans="1:7">
      <c r="A77" s="16">
        <v>41244</v>
      </c>
      <c r="B77">
        <v>28.061613000000001</v>
      </c>
      <c r="C77" s="1">
        <f t="shared" si="2"/>
        <v>3.2229722725780396E-2</v>
      </c>
      <c r="D77" s="28">
        <v>381.41</v>
      </c>
      <c r="E77" s="1">
        <f t="shared" si="0"/>
        <v>3.1590620182295304E-2</v>
      </c>
      <c r="F77" s="1">
        <f t="shared" si="3"/>
        <v>6.3910254348509277E-4</v>
      </c>
      <c r="G77" s="2">
        <v>2.3816000000000002E-3</v>
      </c>
    </row>
    <row r="78" spans="1:7">
      <c r="A78" s="16">
        <v>41275</v>
      </c>
      <c r="B78">
        <v>29.425179</v>
      </c>
      <c r="C78" s="1">
        <f t="shared" si="2"/>
        <v>4.8591861059448016E-2</v>
      </c>
      <c r="D78" s="28">
        <v>398.36</v>
      </c>
      <c r="E78" s="1">
        <f t="shared" ref="E78:E141" si="4">D78/D77-1</f>
        <v>4.4440366010330079E-2</v>
      </c>
      <c r="F78" s="1">
        <f t="shared" si="3"/>
        <v>4.151495049117937E-3</v>
      </c>
      <c r="G78" s="2"/>
    </row>
    <row r="79" spans="1:7">
      <c r="A79" s="16">
        <v>41306</v>
      </c>
      <c r="B79">
        <v>29.087326000000001</v>
      </c>
      <c r="C79" s="1">
        <f t="shared" ref="C79:C142" si="5">(B79/B78)-1</f>
        <v>-1.1481765327578719E-2</v>
      </c>
      <c r="D79" s="29">
        <v>394.84</v>
      </c>
      <c r="E79" s="1">
        <f t="shared" si="4"/>
        <v>-8.8362285370018334E-3</v>
      </c>
      <c r="F79" s="1">
        <f t="shared" si="3"/>
        <v>-2.6455367905768856E-3</v>
      </c>
      <c r="G79" s="2"/>
    </row>
    <row r="80" spans="1:7">
      <c r="A80" s="16">
        <v>41334</v>
      </c>
      <c r="B80">
        <v>29.304516</v>
      </c>
      <c r="C80" s="1">
        <f t="shared" si="5"/>
        <v>7.4668259296162276E-3</v>
      </c>
      <c r="D80" s="28">
        <v>395.09</v>
      </c>
      <c r="E80" s="1">
        <f t="shared" si="4"/>
        <v>6.3316786546452342E-4</v>
      </c>
      <c r="F80" s="1">
        <f t="shared" si="3"/>
        <v>6.8336580641517042E-3</v>
      </c>
      <c r="G80" s="2">
        <v>1.1027100000000001E-2</v>
      </c>
    </row>
    <row r="81" spans="1:7">
      <c r="A81" s="16">
        <v>41365</v>
      </c>
      <c r="B81">
        <v>30.969189</v>
      </c>
      <c r="C81" s="1">
        <f t="shared" si="5"/>
        <v>5.6806022662172717E-2</v>
      </c>
      <c r="D81" s="28">
        <v>410.09</v>
      </c>
      <c r="E81" s="1">
        <f t="shared" si="4"/>
        <v>3.7966033055759407E-2</v>
      </c>
      <c r="F81" s="1">
        <f t="shared" si="3"/>
        <v>1.883998960641331E-2</v>
      </c>
      <c r="G81" s="2"/>
    </row>
    <row r="82" spans="1:7">
      <c r="A82" s="16">
        <v>41395</v>
      </c>
      <c r="B82">
        <v>30.048120000000001</v>
      </c>
      <c r="C82" s="1">
        <f t="shared" si="5"/>
        <v>-2.9741463362182308E-2</v>
      </c>
      <c r="D82" s="29">
        <v>399.47</v>
      </c>
      <c r="E82" s="1">
        <f t="shared" si="4"/>
        <v>-2.5896754370991593E-2</v>
      </c>
      <c r="F82" s="1">
        <f t="shared" si="3"/>
        <v>-3.8447089911907151E-3</v>
      </c>
      <c r="G82" s="2"/>
    </row>
    <row r="83" spans="1:7">
      <c r="A83" s="16">
        <v>41426</v>
      </c>
      <c r="B83">
        <v>28.763452999999998</v>
      </c>
      <c r="C83" s="1">
        <f t="shared" si="5"/>
        <v>-4.2753656468358159E-2</v>
      </c>
      <c r="D83" s="29">
        <v>383.14</v>
      </c>
      <c r="E83" s="1">
        <f t="shared" si="4"/>
        <v>-4.0879164893483977E-2</v>
      </c>
      <c r="F83" s="1">
        <f t="shared" si="3"/>
        <v>-1.8744915748741819E-3</v>
      </c>
      <c r="G83" s="2">
        <v>6.8098000000000004E-3</v>
      </c>
    </row>
    <row r="84" spans="1:7">
      <c r="A84" s="16">
        <v>41456</v>
      </c>
      <c r="B84">
        <v>30.726068000000001</v>
      </c>
      <c r="C84" s="1">
        <f t="shared" si="5"/>
        <v>6.823294129533064E-2</v>
      </c>
      <c r="D84" s="28">
        <v>403.28</v>
      </c>
      <c r="E84" s="1">
        <f t="shared" si="4"/>
        <v>5.2565641801952223E-2</v>
      </c>
      <c r="F84" s="1">
        <f t="shared" si="3"/>
        <v>1.5667299493378417E-2</v>
      </c>
      <c r="G84" s="2"/>
    </row>
    <row r="85" spans="1:7">
      <c r="A85" s="16">
        <v>41487</v>
      </c>
      <c r="B85">
        <v>30.233796999999999</v>
      </c>
      <c r="C85" s="1">
        <f t="shared" si="5"/>
        <v>-1.6021281994168635E-2</v>
      </c>
      <c r="D85" s="29">
        <v>398.36</v>
      </c>
      <c r="E85" s="1">
        <f t="shared" si="4"/>
        <v>-1.2199960325332215E-2</v>
      </c>
      <c r="F85" s="1">
        <f t="shared" si="3"/>
        <v>-3.8213216688364193E-3</v>
      </c>
      <c r="G85" s="2"/>
    </row>
    <row r="86" spans="1:7">
      <c r="A86" s="16">
        <v>41518</v>
      </c>
      <c r="B86">
        <v>32.473652000000001</v>
      </c>
      <c r="C86" s="1">
        <f t="shared" si="5"/>
        <v>7.4084475727610455E-2</v>
      </c>
      <c r="D86" s="28">
        <v>425.66</v>
      </c>
      <c r="E86" s="1">
        <f t="shared" si="4"/>
        <v>6.8530977005723415E-2</v>
      </c>
      <c r="F86" s="1">
        <f t="shared" ref="F86:F149" si="6">C86-E86</f>
        <v>5.5534987218870402E-3</v>
      </c>
      <c r="G86" s="2">
        <v>9.8790000000000006E-3</v>
      </c>
    </row>
    <row r="87" spans="1:7">
      <c r="A87" s="16">
        <v>41548</v>
      </c>
      <c r="B87">
        <v>33.653564000000003</v>
      </c>
      <c r="C87" s="1">
        <f t="shared" si="5"/>
        <v>3.633444122638263E-2</v>
      </c>
      <c r="D87" s="28">
        <v>439.47</v>
      </c>
      <c r="E87" s="1">
        <f t="shared" si="4"/>
        <v>3.2443734435934735E-2</v>
      </c>
      <c r="F87" s="1">
        <f t="shared" si="6"/>
        <v>3.8907067904478954E-3</v>
      </c>
      <c r="G87" s="2"/>
    </row>
    <row r="88" spans="1:7">
      <c r="A88" s="16">
        <v>41579</v>
      </c>
      <c r="B88">
        <v>33.875999</v>
      </c>
      <c r="C88" s="1">
        <f t="shared" si="5"/>
        <v>6.6095525573457437E-3</v>
      </c>
      <c r="D88" s="28">
        <v>441.3</v>
      </c>
      <c r="E88" s="1">
        <f t="shared" si="4"/>
        <v>4.1641067649669239E-3</v>
      </c>
      <c r="F88" s="1">
        <f t="shared" si="6"/>
        <v>2.4454457923788198E-3</v>
      </c>
      <c r="G88" s="2"/>
    </row>
    <row r="89" spans="1:7">
      <c r="A89" s="16">
        <v>41609</v>
      </c>
      <c r="B89">
        <v>34.337353</v>
      </c>
      <c r="C89" s="1">
        <f t="shared" si="5"/>
        <v>1.3618904641011564E-2</v>
      </c>
      <c r="D89" s="28">
        <v>447.24</v>
      </c>
      <c r="E89" s="1">
        <f t="shared" si="4"/>
        <v>1.3460231135282053E-2</v>
      </c>
      <c r="F89" s="1">
        <f t="shared" si="6"/>
        <v>1.5867350572951189E-4</v>
      </c>
      <c r="G89" s="2">
        <v>9.2499999999999999E-5</v>
      </c>
    </row>
    <row r="90" spans="1:7">
      <c r="A90" s="16">
        <v>41640</v>
      </c>
      <c r="B90">
        <v>32.721848000000001</v>
      </c>
      <c r="C90" s="1">
        <f t="shared" si="5"/>
        <v>-4.7048035414960498E-2</v>
      </c>
      <c r="D90" s="29">
        <v>429.74</v>
      </c>
      <c r="E90" s="1">
        <f t="shared" si="4"/>
        <v>-3.9128879348895418E-2</v>
      </c>
      <c r="F90" s="1">
        <f t="shared" si="6"/>
        <v>-7.9191560660650806E-3</v>
      </c>
      <c r="G90" s="2"/>
    </row>
    <row r="91" spans="1:7">
      <c r="A91" s="16">
        <v>41671</v>
      </c>
      <c r="B91">
        <v>34.668098000000001</v>
      </c>
      <c r="C91" s="1">
        <f t="shared" si="5"/>
        <v>5.9478608909863562E-2</v>
      </c>
      <c r="D91" s="28">
        <v>452.11</v>
      </c>
      <c r="E91" s="1">
        <f t="shared" si="4"/>
        <v>5.2054730767440827E-2</v>
      </c>
      <c r="F91" s="1">
        <f t="shared" si="6"/>
        <v>7.4238781424227351E-3</v>
      </c>
      <c r="G91" s="2"/>
    </row>
    <row r="92" spans="1:7">
      <c r="A92" s="16">
        <v>41699</v>
      </c>
      <c r="B92">
        <v>34.179465999999998</v>
      </c>
      <c r="C92" s="1">
        <f t="shared" si="5"/>
        <v>-1.4094571902964037E-2</v>
      </c>
      <c r="D92" s="29">
        <v>448.81</v>
      </c>
      <c r="E92" s="1">
        <f t="shared" si="4"/>
        <v>-7.2991086240075109E-3</v>
      </c>
      <c r="F92" s="1">
        <f t="shared" si="6"/>
        <v>-6.7954632789565261E-3</v>
      </c>
      <c r="G92" s="2">
        <v>1.08372E-2</v>
      </c>
    </row>
    <row r="93" spans="1:7">
      <c r="A93" s="16">
        <v>41730</v>
      </c>
      <c r="B93">
        <v>35.089661</v>
      </c>
      <c r="C93" s="1">
        <f t="shared" si="5"/>
        <v>2.6629877716638495E-2</v>
      </c>
      <c r="D93" s="28">
        <v>453.22</v>
      </c>
      <c r="E93" s="1">
        <f t="shared" si="4"/>
        <v>9.8259842695127553E-3</v>
      </c>
      <c r="F93" s="1">
        <f t="shared" si="6"/>
        <v>1.680389344712574E-2</v>
      </c>
      <c r="G93" s="2"/>
    </row>
    <row r="94" spans="1:7">
      <c r="A94" s="16">
        <v>41760</v>
      </c>
      <c r="B94">
        <v>35.709099000000002</v>
      </c>
      <c r="C94" s="1">
        <f t="shared" si="5"/>
        <v>1.7653006109121572E-2</v>
      </c>
      <c r="D94" s="28">
        <v>458.1</v>
      </c>
      <c r="E94" s="1">
        <f t="shared" si="4"/>
        <v>1.0767397731785922E-2</v>
      </c>
      <c r="F94" s="1">
        <f t="shared" si="6"/>
        <v>6.8856083773356502E-3</v>
      </c>
      <c r="G94" s="2"/>
    </row>
    <row r="95" spans="1:7">
      <c r="A95" s="16">
        <v>41791</v>
      </c>
      <c r="B95">
        <v>35.650497000000001</v>
      </c>
      <c r="C95" s="1">
        <f t="shared" si="5"/>
        <v>-1.641094332847759E-3</v>
      </c>
      <c r="D95" s="28">
        <v>464.43</v>
      </c>
      <c r="E95" s="1">
        <f t="shared" si="4"/>
        <v>1.3817943680419109E-2</v>
      </c>
      <c r="F95" s="1">
        <f t="shared" si="6"/>
        <v>-1.5459038013266868E-2</v>
      </c>
      <c r="G95" s="2">
        <v>3.4470000000000003E-4</v>
      </c>
    </row>
    <row r="96" spans="1:7">
      <c r="A96" s="16">
        <v>41821</v>
      </c>
      <c r="B96">
        <v>35.223351000000001</v>
      </c>
      <c r="C96" s="1">
        <f t="shared" si="5"/>
        <v>-1.198148794391285E-2</v>
      </c>
      <c r="D96" s="29">
        <v>456.2</v>
      </c>
      <c r="E96" s="1">
        <f t="shared" si="4"/>
        <v>-1.7720646814374685E-2</v>
      </c>
      <c r="F96" s="1">
        <f t="shared" si="6"/>
        <v>5.7391588704618357E-3</v>
      </c>
      <c r="G96" s="2"/>
    </row>
    <row r="97" spans="1:7">
      <c r="A97" s="16">
        <v>41852</v>
      </c>
      <c r="B97">
        <v>35.316527999999998</v>
      </c>
      <c r="C97" s="1">
        <f t="shared" si="5"/>
        <v>2.6453190101076718E-3</v>
      </c>
      <c r="D97" s="29">
        <v>455.64</v>
      </c>
      <c r="E97" s="1">
        <f t="shared" si="4"/>
        <v>-1.2275317843051248E-3</v>
      </c>
      <c r="F97" s="1">
        <f t="shared" si="6"/>
        <v>3.8728507944127966E-3</v>
      </c>
      <c r="G97" s="2"/>
    </row>
    <row r="98" spans="1:7">
      <c r="A98" s="16">
        <v>41883</v>
      </c>
      <c r="B98">
        <v>33.673107000000002</v>
      </c>
      <c r="C98" s="1">
        <f t="shared" si="5"/>
        <v>-4.6534047741046303E-2</v>
      </c>
      <c r="D98" s="29">
        <v>434.44</v>
      </c>
      <c r="E98" s="1">
        <f t="shared" si="4"/>
        <v>-4.6527960670704971E-2</v>
      </c>
      <c r="F98" s="1">
        <f t="shared" si="6"/>
        <v>-6.0870703413318239E-6</v>
      </c>
      <c r="G98" s="2">
        <v>1.2333999999999999E-3</v>
      </c>
    </row>
    <row r="99" spans="1:7">
      <c r="A99" s="16">
        <v>41913</v>
      </c>
      <c r="B99">
        <v>33.730682000000002</v>
      </c>
      <c r="C99" s="1">
        <f t="shared" si="5"/>
        <v>1.7098214310904414E-3</v>
      </c>
      <c r="D99" s="29">
        <v>426.5</v>
      </c>
      <c r="E99" s="1">
        <f t="shared" si="4"/>
        <v>-1.8276401804622089E-2</v>
      </c>
      <c r="F99" s="1">
        <f t="shared" si="6"/>
        <v>1.998622323571253E-2</v>
      </c>
      <c r="G99" s="2"/>
    </row>
    <row r="100" spans="1:7">
      <c r="A100" s="16">
        <v>41944</v>
      </c>
      <c r="B100">
        <v>33.730682000000002</v>
      </c>
      <c r="C100" s="1">
        <f t="shared" si="5"/>
        <v>0</v>
      </c>
      <c r="D100" s="28">
        <v>429.69</v>
      </c>
      <c r="E100" s="1">
        <f t="shared" si="4"/>
        <v>7.4794841735053019E-3</v>
      </c>
      <c r="F100" s="1">
        <f t="shared" si="6"/>
        <v>-7.4794841735053019E-3</v>
      </c>
      <c r="G100" s="2"/>
    </row>
    <row r="101" spans="1:7">
      <c r="A101" s="16">
        <v>41974</v>
      </c>
      <c r="B101">
        <v>32.257480999999999</v>
      </c>
      <c r="C101" s="1">
        <f t="shared" si="5"/>
        <v>-4.3675399151431371E-2</v>
      </c>
      <c r="D101" s="29">
        <v>416.27</v>
      </c>
      <c r="E101" s="1">
        <f t="shared" si="4"/>
        <v>-3.1231818287602686E-2</v>
      </c>
      <c r="F101" s="1">
        <f t="shared" si="6"/>
        <v>-1.2443580863828685E-2</v>
      </c>
      <c r="G101" s="2">
        <v>8.1188000000000007E-3</v>
      </c>
    </row>
    <row r="102" spans="1:7">
      <c r="A102" s="16">
        <v>42005</v>
      </c>
      <c r="B102">
        <v>32.690494999999999</v>
      </c>
      <c r="C102" s="1">
        <f t="shared" si="5"/>
        <v>1.3423676820889963E-2</v>
      </c>
      <c r="D102" s="29">
        <v>414.98</v>
      </c>
      <c r="E102" s="1">
        <f t="shared" si="4"/>
        <v>-3.098950200590922E-3</v>
      </c>
      <c r="F102" s="1">
        <f t="shared" si="6"/>
        <v>1.6522627021480885E-2</v>
      </c>
      <c r="G102" s="2"/>
    </row>
    <row r="103" spans="1:7">
      <c r="A103" s="16">
        <v>42036</v>
      </c>
      <c r="B103">
        <v>34.704197000000001</v>
      </c>
      <c r="C103" s="1">
        <f t="shared" si="5"/>
        <v>6.1599006071948459E-2</v>
      </c>
      <c r="D103" s="28">
        <v>438.5</v>
      </c>
      <c r="E103" s="1">
        <f t="shared" si="4"/>
        <v>5.6677430237601856E-2</v>
      </c>
      <c r="F103" s="1">
        <f t="shared" si="6"/>
        <v>4.9215758343466032E-3</v>
      </c>
      <c r="G103" s="2"/>
    </row>
    <row r="104" spans="1:7">
      <c r="A104" s="16">
        <v>42064</v>
      </c>
      <c r="B104">
        <v>34.130074</v>
      </c>
      <c r="C104" s="1">
        <f t="shared" si="5"/>
        <v>-1.6543330479595886E-2</v>
      </c>
      <c r="D104" s="29">
        <v>430.29</v>
      </c>
      <c r="E104" s="1">
        <f t="shared" si="4"/>
        <v>-1.8722919042189257E-2</v>
      </c>
      <c r="F104" s="1">
        <f t="shared" si="6"/>
        <v>2.1795885625933709E-3</v>
      </c>
      <c r="G104" s="2">
        <v>2.3170099999999999E-2</v>
      </c>
    </row>
    <row r="105" spans="1:7">
      <c r="A105" s="16">
        <v>42095</v>
      </c>
      <c r="B105">
        <v>35.606842</v>
      </c>
      <c r="C105" s="1">
        <f t="shared" si="5"/>
        <v>4.3268819165173777E-2</v>
      </c>
      <c r="D105" s="28">
        <v>448.6</v>
      </c>
      <c r="E105" s="1">
        <f t="shared" si="4"/>
        <v>4.2552697018289898E-2</v>
      </c>
      <c r="F105" s="1">
        <f t="shared" si="6"/>
        <v>7.1612214688387965E-4</v>
      </c>
      <c r="G105" s="2"/>
    </row>
    <row r="106" spans="1:7">
      <c r="A106" s="16">
        <v>42125</v>
      </c>
      <c r="B106">
        <v>35.589618999999999</v>
      </c>
      <c r="C106" s="1">
        <f t="shared" si="5"/>
        <v>-4.836991721984818E-4</v>
      </c>
      <c r="D106" s="29">
        <v>443.1</v>
      </c>
      <c r="E106" s="1">
        <f t="shared" si="4"/>
        <v>-1.2260365581810095E-2</v>
      </c>
      <c r="F106" s="1">
        <f t="shared" si="6"/>
        <v>1.1776666409611614E-2</v>
      </c>
      <c r="G106" s="2"/>
    </row>
    <row r="107" spans="1:7">
      <c r="A107" s="16">
        <v>42156</v>
      </c>
      <c r="B107">
        <v>34.126449999999998</v>
      </c>
      <c r="C107" s="1">
        <f t="shared" si="5"/>
        <v>-4.1112241184711795E-2</v>
      </c>
      <c r="D107" s="29">
        <v>430.41</v>
      </c>
      <c r="E107" s="1">
        <f t="shared" si="4"/>
        <v>-2.8639133378469905E-2</v>
      </c>
      <c r="F107" s="1">
        <f t="shared" si="6"/>
        <v>-1.247310780624189E-2</v>
      </c>
      <c r="G107" s="2">
        <v>4.5437000000000003E-3</v>
      </c>
    </row>
    <row r="108" spans="1:7">
      <c r="A108" s="16">
        <v>42186</v>
      </c>
      <c r="B108">
        <v>35.059139000000002</v>
      </c>
      <c r="C108" s="1">
        <f t="shared" si="5"/>
        <v>2.7330384496482951E-2</v>
      </c>
      <c r="D108" s="28">
        <v>434.38</v>
      </c>
      <c r="E108" s="1">
        <f t="shared" si="4"/>
        <v>9.2237633883971437E-3</v>
      </c>
      <c r="F108" s="1">
        <f t="shared" si="6"/>
        <v>1.8106621108085807E-2</v>
      </c>
      <c r="G108" s="2"/>
    </row>
    <row r="109" spans="1:7">
      <c r="A109" s="16">
        <v>42217</v>
      </c>
      <c r="B109">
        <v>32.52317</v>
      </c>
      <c r="C109" s="1">
        <f t="shared" si="5"/>
        <v>-7.2334035356658388E-2</v>
      </c>
      <c r="D109" s="29">
        <v>403.58</v>
      </c>
      <c r="E109" s="1">
        <f t="shared" si="4"/>
        <v>-7.0905658639900615E-2</v>
      </c>
      <c r="F109" s="1">
        <f t="shared" si="6"/>
        <v>-1.4283767167577732E-3</v>
      </c>
      <c r="G109" s="2"/>
    </row>
    <row r="110" spans="1:7">
      <c r="A110" s="16">
        <v>42248</v>
      </c>
      <c r="B110">
        <v>31.059100999999998</v>
      </c>
      <c r="C110" s="1">
        <f t="shared" si="5"/>
        <v>-4.5016183846777635E-2</v>
      </c>
      <c r="D110" s="29">
        <v>383.89</v>
      </c>
      <c r="E110" s="1">
        <f t="shared" si="4"/>
        <v>-4.8788344318350774E-2</v>
      </c>
      <c r="F110" s="1">
        <f t="shared" si="6"/>
        <v>3.7721604715731383E-3</v>
      </c>
      <c r="G110" s="2">
        <v>2.3227999999999999E-3</v>
      </c>
    </row>
    <row r="111" spans="1:7">
      <c r="A111" s="16">
        <v>42278</v>
      </c>
      <c r="B111">
        <v>33.296866999999999</v>
      </c>
      <c r="C111" s="1">
        <f t="shared" si="5"/>
        <v>7.2048640429096755E-2</v>
      </c>
      <c r="D111" s="28">
        <v>412.06</v>
      </c>
      <c r="E111" s="1">
        <f t="shared" si="4"/>
        <v>7.3380395425773015E-2</v>
      </c>
      <c r="F111" s="1">
        <f t="shared" si="6"/>
        <v>-1.3317549966762599E-3</v>
      </c>
      <c r="G111" s="2"/>
    </row>
    <row r="112" spans="1:7">
      <c r="A112" s="16">
        <v>42309</v>
      </c>
      <c r="B112">
        <v>33.043022000000001</v>
      </c>
      <c r="C112" s="1">
        <f t="shared" si="5"/>
        <v>-7.6236902408866047E-3</v>
      </c>
      <c r="D112" s="29">
        <v>405.24</v>
      </c>
      <c r="E112" s="1">
        <f t="shared" si="4"/>
        <v>-1.6550987720234889E-2</v>
      </c>
      <c r="F112" s="1">
        <f t="shared" si="6"/>
        <v>8.927297479348284E-3</v>
      </c>
      <c r="G112" s="2"/>
    </row>
    <row r="113" spans="1:7">
      <c r="A113" s="16">
        <v>42339</v>
      </c>
      <c r="B113">
        <v>32.141460000000002</v>
      </c>
      <c r="C113" s="1">
        <f t="shared" si="5"/>
        <v>-2.7284489899259134E-2</v>
      </c>
      <c r="D113" s="29">
        <v>398.47</v>
      </c>
      <c r="E113" s="1">
        <f t="shared" si="4"/>
        <v>-1.6706149442305751E-2</v>
      </c>
      <c r="F113" s="1">
        <f t="shared" si="6"/>
        <v>-1.0578340456953383E-2</v>
      </c>
      <c r="G113" s="2">
        <v>-2.5818000000000004E-3</v>
      </c>
    </row>
    <row r="114" spans="1:7">
      <c r="A114" s="16">
        <v>42370</v>
      </c>
      <c r="B114">
        <v>30.550262</v>
      </c>
      <c r="C114" s="1">
        <f t="shared" si="5"/>
        <v>-4.9506089642474271E-2</v>
      </c>
      <c r="D114" s="29">
        <v>370.51</v>
      </c>
      <c r="E114" s="1">
        <f t="shared" si="4"/>
        <v>-7.0168394107461118E-2</v>
      </c>
      <c r="F114" s="1">
        <f t="shared" si="6"/>
        <v>2.0662304464986847E-2</v>
      </c>
      <c r="G114" s="2"/>
    </row>
    <row r="115" spans="1:7">
      <c r="A115" s="16">
        <v>42401</v>
      </c>
      <c r="B115">
        <v>29.607949999999999</v>
      </c>
      <c r="C115" s="1">
        <f t="shared" si="5"/>
        <v>-3.0844645456723163E-2</v>
      </c>
      <c r="D115" s="29">
        <v>364.8</v>
      </c>
      <c r="E115" s="1">
        <f t="shared" si="4"/>
        <v>-1.5411189981376916E-2</v>
      </c>
      <c r="F115" s="1">
        <f t="shared" si="6"/>
        <v>-1.5433455475346247E-2</v>
      </c>
      <c r="G115" s="2"/>
    </row>
    <row r="116" spans="1:7">
      <c r="A116" s="16">
        <v>42430</v>
      </c>
      <c r="B116">
        <v>31.598246</v>
      </c>
      <c r="C116" s="1">
        <f t="shared" si="5"/>
        <v>6.72216752595165E-2</v>
      </c>
      <c r="D116" s="28">
        <v>389.63</v>
      </c>
      <c r="E116" s="1">
        <f t="shared" si="4"/>
        <v>6.8064692982455988E-2</v>
      </c>
      <c r="F116" s="1">
        <f t="shared" si="6"/>
        <v>-8.4301772293948751E-4</v>
      </c>
      <c r="G116" s="2">
        <v>6.9925999999999999E-3</v>
      </c>
    </row>
    <row r="117" spans="1:7">
      <c r="A117" s="16">
        <v>42461</v>
      </c>
      <c r="B117">
        <v>32.471203000000003</v>
      </c>
      <c r="C117" s="1">
        <f t="shared" si="5"/>
        <v>2.7626754978741674E-2</v>
      </c>
      <c r="D117" s="28">
        <v>400.08</v>
      </c>
      <c r="E117" s="1">
        <f t="shared" si="4"/>
        <v>2.6820316710725489E-2</v>
      </c>
      <c r="F117" s="1">
        <f t="shared" si="6"/>
        <v>8.0643826801618523E-4</v>
      </c>
      <c r="G117" s="2"/>
    </row>
    <row r="118" spans="1:7">
      <c r="A118" s="16">
        <v>42491</v>
      </c>
      <c r="B118">
        <v>32.373900999999996</v>
      </c>
      <c r="C118" s="1">
        <f t="shared" si="5"/>
        <v>-2.9965628313803894E-3</v>
      </c>
      <c r="D118" s="29">
        <v>393.76</v>
      </c>
      <c r="E118" s="1">
        <f t="shared" si="4"/>
        <v>-1.5796840631873588E-2</v>
      </c>
      <c r="F118" s="1">
        <f t="shared" si="6"/>
        <v>1.2800277800493198E-2</v>
      </c>
      <c r="G118" s="2"/>
    </row>
    <row r="119" spans="1:7">
      <c r="A119" s="16">
        <v>42522</v>
      </c>
      <c r="B119">
        <v>31.277086000000001</v>
      </c>
      <c r="C119" s="1">
        <f t="shared" si="5"/>
        <v>-3.3879605673718394E-2</v>
      </c>
      <c r="D119" s="29">
        <v>381.22</v>
      </c>
      <c r="E119" s="1">
        <f t="shared" si="4"/>
        <v>-3.1846810239739898E-2</v>
      </c>
      <c r="F119" s="1">
        <f t="shared" si="6"/>
        <v>-2.0327954339784959E-3</v>
      </c>
      <c r="G119" s="2">
        <v>-1.5329E-3</v>
      </c>
    </row>
    <row r="120" spans="1:7">
      <c r="A120" s="16">
        <v>42552</v>
      </c>
      <c r="B120">
        <v>33.025238000000002</v>
      </c>
      <c r="C120" s="1">
        <f t="shared" si="5"/>
        <v>5.5892419133930948E-2</v>
      </c>
      <c r="D120" s="28">
        <v>400.45</v>
      </c>
      <c r="E120" s="1">
        <f t="shared" si="4"/>
        <v>5.044331357221532E-2</v>
      </c>
      <c r="F120" s="1">
        <f t="shared" si="6"/>
        <v>5.4491055617156281E-3</v>
      </c>
      <c r="G120" s="2"/>
    </row>
    <row r="121" spans="1:7">
      <c r="A121" s="16">
        <v>42583</v>
      </c>
      <c r="B121">
        <v>33.159748</v>
      </c>
      <c r="C121" s="1">
        <f t="shared" si="5"/>
        <v>4.0729456665837827E-3</v>
      </c>
      <c r="D121" s="29">
        <v>399.9</v>
      </c>
      <c r="E121" s="1">
        <f t="shared" si="4"/>
        <v>-1.373454863278889E-3</v>
      </c>
      <c r="F121" s="1">
        <f t="shared" si="6"/>
        <v>5.4464005298626716E-3</v>
      </c>
      <c r="G121" s="2"/>
    </row>
    <row r="122" spans="1:7">
      <c r="A122" s="16">
        <v>42614</v>
      </c>
      <c r="B122">
        <v>33.54533</v>
      </c>
      <c r="C122" s="1">
        <f t="shared" si="5"/>
        <v>1.1628013578390162E-2</v>
      </c>
      <c r="D122" s="28">
        <v>404.34</v>
      </c>
      <c r="E122" s="1">
        <f t="shared" si="4"/>
        <v>1.1102775693923483E-2</v>
      </c>
      <c r="F122" s="1">
        <f t="shared" si="6"/>
        <v>5.252378844666783E-4</v>
      </c>
      <c r="G122" s="2">
        <v>1.6414999999999999E-3</v>
      </c>
    </row>
    <row r="123" spans="1:7">
      <c r="A123" s="16">
        <v>42644</v>
      </c>
      <c r="B123">
        <v>32.892032999999998</v>
      </c>
      <c r="C123" s="1">
        <f t="shared" si="5"/>
        <v>-1.9475050625526791E-2</v>
      </c>
      <c r="D123" s="29">
        <v>395.32</v>
      </c>
      <c r="E123" s="1">
        <f t="shared" si="4"/>
        <v>-2.2307958648661974E-2</v>
      </c>
      <c r="F123" s="1">
        <f t="shared" si="6"/>
        <v>2.8329080231351833E-3</v>
      </c>
      <c r="G123" s="2"/>
    </row>
    <row r="124" spans="1:7">
      <c r="A124" s="16">
        <v>42675</v>
      </c>
      <c r="B124">
        <v>32.396552999999997</v>
      </c>
      <c r="C124" s="1">
        <f t="shared" si="5"/>
        <v>-1.5063830198638106E-2</v>
      </c>
      <c r="D124" s="29">
        <v>387.86</v>
      </c>
      <c r="E124" s="1">
        <f t="shared" si="4"/>
        <v>-1.8870788222199675E-2</v>
      </c>
      <c r="F124" s="1">
        <f t="shared" si="6"/>
        <v>3.8069580235615685E-3</v>
      </c>
      <c r="G124" s="2"/>
    </row>
    <row r="125" spans="1:7">
      <c r="A125" s="16">
        <v>42705</v>
      </c>
      <c r="B125">
        <v>32.919074999999999</v>
      </c>
      <c r="C125" s="1">
        <f t="shared" si="5"/>
        <v>1.6128938162032203E-2</v>
      </c>
      <c r="D125" s="28">
        <v>399.29</v>
      </c>
      <c r="E125" s="1">
        <f t="shared" si="4"/>
        <v>2.9469396173877227E-2</v>
      </c>
      <c r="F125" s="1">
        <f t="shared" si="6"/>
        <v>-1.3340458011845024E-2</v>
      </c>
      <c r="G125" s="2">
        <v>2.8644999999999999E-3</v>
      </c>
    </row>
    <row r="126" spans="1:7">
      <c r="A126" s="16">
        <v>42736</v>
      </c>
      <c r="B126">
        <v>34.406933000000002</v>
      </c>
      <c r="C126" s="1">
        <f t="shared" si="5"/>
        <v>4.5197442516231146E-2</v>
      </c>
      <c r="D126" s="28">
        <v>411.8</v>
      </c>
      <c r="E126" s="1">
        <f t="shared" si="4"/>
        <v>3.1330611836008826E-2</v>
      </c>
      <c r="F126" s="1">
        <f t="shared" si="6"/>
        <v>1.386683068022232E-2</v>
      </c>
      <c r="G126" s="2"/>
    </row>
    <row r="127" spans="1:7">
      <c r="A127" s="16">
        <v>42767</v>
      </c>
      <c r="B127">
        <v>34.770248000000002</v>
      </c>
      <c r="C127" s="1">
        <f t="shared" si="5"/>
        <v>1.0559354418482991E-2</v>
      </c>
      <c r="D127" s="28">
        <v>416.69</v>
      </c>
      <c r="E127" s="1">
        <f t="shared" si="4"/>
        <v>1.1874696454589495E-2</v>
      </c>
      <c r="F127" s="1">
        <f t="shared" si="6"/>
        <v>-1.3153420361065038E-3</v>
      </c>
      <c r="G127" s="2"/>
    </row>
    <row r="128" spans="1:7">
      <c r="A128" s="16">
        <v>42795</v>
      </c>
      <c r="B128">
        <v>35.696728</v>
      </c>
      <c r="C128" s="1">
        <f t="shared" si="5"/>
        <v>2.6645769106967476E-2</v>
      </c>
      <c r="D128" s="28">
        <v>425.39</v>
      </c>
      <c r="E128" s="1">
        <f t="shared" si="4"/>
        <v>2.0878830785475921E-2</v>
      </c>
      <c r="F128" s="1">
        <f t="shared" si="6"/>
        <v>5.7669383214915548E-3</v>
      </c>
      <c r="G128" s="2">
        <v>7.2167000000000004E-3</v>
      </c>
    </row>
    <row r="129" spans="1:7">
      <c r="A129" s="16">
        <v>42826</v>
      </c>
      <c r="B129">
        <v>36.626942</v>
      </c>
      <c r="C129" s="1">
        <f t="shared" si="5"/>
        <v>2.6058802924458391E-2</v>
      </c>
      <c r="D129" s="28">
        <v>434.17</v>
      </c>
      <c r="E129" s="1">
        <f t="shared" si="4"/>
        <v>2.0639883401114334E-2</v>
      </c>
      <c r="F129" s="1">
        <f t="shared" si="6"/>
        <v>5.4189195233440568E-3</v>
      </c>
      <c r="G129" s="2"/>
    </row>
    <row r="130" spans="1:7">
      <c r="A130" s="16">
        <v>42856</v>
      </c>
      <c r="B130">
        <v>37.876106</v>
      </c>
      <c r="C130" s="1">
        <f t="shared" si="5"/>
        <v>3.4105058511300301E-2</v>
      </c>
      <c r="D130" s="28">
        <v>447.18</v>
      </c>
      <c r="E130" s="1">
        <f t="shared" si="4"/>
        <v>2.9965220996383879E-2</v>
      </c>
      <c r="F130" s="1">
        <f t="shared" si="6"/>
        <v>4.1398375149164224E-3</v>
      </c>
      <c r="G130" s="2"/>
    </row>
    <row r="131" spans="1:7">
      <c r="A131" s="16">
        <v>42887</v>
      </c>
      <c r="B131">
        <v>37.675514</v>
      </c>
      <c r="C131" s="1">
        <f t="shared" si="5"/>
        <v>-5.2960037655401804E-3</v>
      </c>
      <c r="D131" s="28">
        <v>447.21</v>
      </c>
      <c r="E131" s="1">
        <f t="shared" si="4"/>
        <v>6.7087079028471663E-5</v>
      </c>
      <c r="F131" s="1">
        <f t="shared" si="6"/>
        <v>-5.363090844568652E-3</v>
      </c>
      <c r="G131" s="2">
        <v>4.4841999999999998E-3</v>
      </c>
    </row>
    <row r="132" spans="1:7">
      <c r="A132" s="16">
        <v>42917</v>
      </c>
      <c r="B132">
        <v>39.215240000000001</v>
      </c>
      <c r="C132" s="1">
        <f t="shared" si="5"/>
        <v>4.08680821182692E-2</v>
      </c>
      <c r="D132" s="28">
        <v>460.59</v>
      </c>
      <c r="E132" s="1">
        <f t="shared" si="4"/>
        <v>2.9918830079828318E-2</v>
      </c>
      <c r="F132" s="1">
        <f t="shared" si="6"/>
        <v>1.0949252038440882E-2</v>
      </c>
      <c r="G132" s="2"/>
    </row>
    <row r="133" spans="1:7">
      <c r="A133" s="16">
        <v>42948</v>
      </c>
      <c r="B133">
        <v>39.224468000000002</v>
      </c>
      <c r="C133" s="1">
        <f t="shared" si="5"/>
        <v>2.3531667790388511E-4</v>
      </c>
      <c r="D133" s="29">
        <v>459.35</v>
      </c>
      <c r="E133" s="1">
        <f t="shared" si="4"/>
        <v>-2.6921991358908048E-3</v>
      </c>
      <c r="F133" s="1">
        <f t="shared" si="6"/>
        <v>2.9275158137946899E-3</v>
      </c>
      <c r="G133" s="2"/>
    </row>
    <row r="134" spans="1:7">
      <c r="A134" s="16">
        <v>42979</v>
      </c>
      <c r="B134">
        <v>40.045498000000002</v>
      </c>
      <c r="C134" s="1">
        <f t="shared" si="5"/>
        <v>2.0931577708077631E-2</v>
      </c>
      <c r="D134" s="28">
        <v>470.09</v>
      </c>
      <c r="E134" s="1">
        <f t="shared" si="4"/>
        <v>2.3380864264721746E-2</v>
      </c>
      <c r="F134" s="1">
        <f t="shared" si="6"/>
        <v>-2.4492865566441147E-3</v>
      </c>
      <c r="G134" s="2">
        <v>1.0933999999999999E-2</v>
      </c>
    </row>
    <row r="135" spans="1:7">
      <c r="A135" s="16">
        <v>43009</v>
      </c>
      <c r="B135">
        <v>40.923938999999997</v>
      </c>
      <c r="C135" s="1">
        <f t="shared" si="5"/>
        <v>2.193607381284135E-2</v>
      </c>
      <c r="D135" s="28">
        <v>477.86</v>
      </c>
      <c r="E135" s="1">
        <f t="shared" si="4"/>
        <v>1.652874981386554E-2</v>
      </c>
      <c r="F135" s="1">
        <f t="shared" si="6"/>
        <v>5.4073239989758104E-3</v>
      </c>
      <c r="G135" s="2"/>
    </row>
    <row r="136" spans="1:7">
      <c r="A136" s="16">
        <v>43040</v>
      </c>
      <c r="B136">
        <v>41.275931999999997</v>
      </c>
      <c r="C136" s="1">
        <f t="shared" si="5"/>
        <v>8.6011515167199182E-3</v>
      </c>
      <c r="D136" s="28">
        <v>482.32</v>
      </c>
      <c r="E136" s="1">
        <f t="shared" si="4"/>
        <v>9.3332775289833858E-3</v>
      </c>
      <c r="F136" s="1">
        <f t="shared" si="6"/>
        <v>-7.3212601226346763E-4</v>
      </c>
      <c r="G136" s="2"/>
    </row>
    <row r="137" spans="1:7">
      <c r="A137" s="16">
        <v>43070</v>
      </c>
      <c r="B137">
        <v>41.553825000000003</v>
      </c>
      <c r="C137" s="1">
        <f t="shared" si="5"/>
        <v>6.7325675408129726E-3</v>
      </c>
      <c r="D137" s="28">
        <v>491.36</v>
      </c>
      <c r="E137" s="1">
        <f t="shared" si="4"/>
        <v>1.8742743406866769E-2</v>
      </c>
      <c r="F137" s="1">
        <f t="shared" si="6"/>
        <v>-1.2010175866053796E-2</v>
      </c>
      <c r="G137" s="2">
        <v>3.3889000000000002E-3</v>
      </c>
    </row>
    <row r="138" spans="1:7">
      <c r="A138" s="16">
        <v>43101</v>
      </c>
      <c r="B138">
        <v>43.950938999999998</v>
      </c>
      <c r="C138" s="1">
        <f t="shared" si="5"/>
        <v>5.7686963835459126E-2</v>
      </c>
      <c r="D138" s="28">
        <v>513.71</v>
      </c>
      <c r="E138" s="1">
        <f t="shared" si="4"/>
        <v>4.5485998046238985E-2</v>
      </c>
      <c r="F138" s="1">
        <f t="shared" si="6"/>
        <v>1.2200965789220142E-2</v>
      </c>
      <c r="G138" s="2"/>
    </row>
    <row r="139" spans="1:7">
      <c r="A139" s="16">
        <v>43132</v>
      </c>
      <c r="B139">
        <v>41.706158000000002</v>
      </c>
      <c r="C139" s="1">
        <f t="shared" si="5"/>
        <v>-5.1074699450675998E-2</v>
      </c>
      <c r="D139" s="29">
        <v>488.56</v>
      </c>
      <c r="E139" s="1">
        <f t="shared" si="4"/>
        <v>-4.8957583072161359E-2</v>
      </c>
      <c r="F139" s="1">
        <f t="shared" si="6"/>
        <v>-2.1171163785146385E-3</v>
      </c>
      <c r="G139" s="2"/>
    </row>
    <row r="140" spans="1:7">
      <c r="A140" s="16">
        <v>43160</v>
      </c>
      <c r="B140">
        <v>41.388145000000002</v>
      </c>
      <c r="C140" s="1">
        <f t="shared" si="5"/>
        <v>-7.6250850054325747E-3</v>
      </c>
      <c r="D140" s="29">
        <v>479.4</v>
      </c>
      <c r="E140" s="1">
        <f t="shared" si="4"/>
        <v>-1.8748976584247679E-2</v>
      </c>
      <c r="F140" s="1">
        <f t="shared" si="6"/>
        <v>1.1123891578815104E-2</v>
      </c>
      <c r="G140" s="2">
        <v>-6.3251000000000002E-3</v>
      </c>
    </row>
    <row r="141" spans="1:7">
      <c r="A141" s="16">
        <v>43191</v>
      </c>
      <c r="B141">
        <v>42.069293999999999</v>
      </c>
      <c r="C141" s="1">
        <f t="shared" si="5"/>
        <v>1.6457587069920621E-2</v>
      </c>
      <c r="D141" s="28">
        <v>488.41</v>
      </c>
      <c r="E141" s="1">
        <f t="shared" si="4"/>
        <v>1.8794326241134751E-2</v>
      </c>
      <c r="F141" s="1">
        <f t="shared" si="6"/>
        <v>-2.3367391712141306E-3</v>
      </c>
      <c r="G141" s="2"/>
    </row>
    <row r="142" spans="1:7">
      <c r="A142" s="16">
        <v>43221</v>
      </c>
      <c r="B142">
        <v>41.468432999999997</v>
      </c>
      <c r="C142" s="1">
        <f t="shared" si="5"/>
        <v>-1.4282649953669346E-2</v>
      </c>
      <c r="D142" s="29">
        <v>477.03</v>
      </c>
      <c r="E142" s="1">
        <f t="shared" ref="E142:E166" si="7">D142/D141-1</f>
        <v>-2.3300096230626011E-2</v>
      </c>
      <c r="F142" s="1">
        <f t="shared" si="6"/>
        <v>9.0174462769566643E-3</v>
      </c>
      <c r="G142" s="2"/>
    </row>
    <row r="143" spans="1:7">
      <c r="A143" s="16">
        <v>43252</v>
      </c>
      <c r="B143">
        <v>40.276108000000001</v>
      </c>
      <c r="C143" s="1">
        <f t="shared" ref="C143:C166" si="8">(B143/B142)-1</f>
        <v>-2.8752593569185469E-2</v>
      </c>
      <c r="D143" s="29">
        <v>469.11</v>
      </c>
      <c r="E143" s="1">
        <f t="shared" si="7"/>
        <v>-1.6602729388088711E-2</v>
      </c>
      <c r="F143" s="1">
        <f t="shared" si="6"/>
        <v>-1.2149864181096759E-2</v>
      </c>
      <c r="G143" s="2">
        <v>2.7560000000000002E-3</v>
      </c>
    </row>
    <row r="144" spans="1:7">
      <c r="A144" s="16">
        <v>43282</v>
      </c>
      <c r="B144">
        <v>41.714485000000003</v>
      </c>
      <c r="C144" s="1">
        <f t="shared" si="8"/>
        <v>3.5712909499597156E-2</v>
      </c>
      <c r="D144" s="28">
        <v>478.37</v>
      </c>
      <c r="E144" s="1">
        <f t="shared" si="7"/>
        <v>1.973950672550151E-2</v>
      </c>
      <c r="F144" s="1">
        <f t="shared" si="6"/>
        <v>1.5973402774095646E-2</v>
      </c>
      <c r="G144" s="2"/>
    </row>
    <row r="145" spans="1:7">
      <c r="A145" s="16">
        <v>43313</v>
      </c>
      <c r="B145">
        <v>40.991993000000001</v>
      </c>
      <c r="C145" s="1">
        <f t="shared" si="8"/>
        <v>-1.7319930954439511E-2</v>
      </c>
      <c r="D145" s="29">
        <v>469.61</v>
      </c>
      <c r="E145" s="1">
        <f t="shared" si="7"/>
        <v>-1.8312185128666059E-2</v>
      </c>
      <c r="F145" s="1">
        <f t="shared" si="6"/>
        <v>9.9225417422654782E-4</v>
      </c>
      <c r="G145" s="2"/>
    </row>
    <row r="146" spans="1:7">
      <c r="A146" s="16">
        <v>43344</v>
      </c>
      <c r="B146">
        <v>41.134585999999999</v>
      </c>
      <c r="C146" s="1">
        <f t="shared" si="8"/>
        <v>3.4785573855848906E-3</v>
      </c>
      <c r="D146" s="28">
        <v>471.38</v>
      </c>
      <c r="E146" s="1">
        <f t="shared" si="7"/>
        <v>3.7690849854132846E-3</v>
      </c>
      <c r="F146" s="1">
        <f t="shared" si="6"/>
        <v>-2.9052759982839405E-4</v>
      </c>
      <c r="G146" s="2">
        <v>-6.3514999999999995E-3</v>
      </c>
    </row>
    <row r="147" spans="1:7">
      <c r="A147" s="16">
        <v>43374</v>
      </c>
      <c r="B147">
        <v>37.734164999999997</v>
      </c>
      <c r="C147" s="1">
        <f t="shared" si="8"/>
        <v>-8.2665740211898653E-2</v>
      </c>
      <c r="D147" s="29">
        <v>430.83</v>
      </c>
      <c r="E147" s="1">
        <f t="shared" si="7"/>
        <v>-8.6024014595443177E-2</v>
      </c>
      <c r="F147" s="1">
        <f t="shared" si="6"/>
        <v>3.3582743835445239E-3</v>
      </c>
      <c r="G147" s="2"/>
    </row>
    <row r="148" spans="1:7">
      <c r="A148" s="16">
        <v>43405</v>
      </c>
      <c r="B148">
        <v>37.924984000000002</v>
      </c>
      <c r="C148" s="1">
        <f t="shared" si="8"/>
        <v>5.0569291781070724E-3</v>
      </c>
      <c r="D148" s="29">
        <v>430.2</v>
      </c>
      <c r="E148" s="1">
        <f t="shared" si="7"/>
        <v>-1.4622937121370194E-3</v>
      </c>
      <c r="F148" s="1">
        <f t="shared" si="6"/>
        <v>6.5192228902440919E-3</v>
      </c>
      <c r="G148" s="2"/>
    </row>
    <row r="149" spans="1:7">
      <c r="A149" s="16">
        <v>43435</v>
      </c>
      <c r="B149">
        <v>35.396656</v>
      </c>
      <c r="C149" s="1">
        <f t="shared" si="8"/>
        <v>-6.6666554163872571E-2</v>
      </c>
      <c r="D149" s="29">
        <v>407.3</v>
      </c>
      <c r="E149" s="1">
        <f t="shared" si="7"/>
        <v>-5.3231055323105458E-2</v>
      </c>
      <c r="F149" s="1">
        <f t="shared" si="6"/>
        <v>-1.3435498840767113E-2</v>
      </c>
      <c r="G149" s="2">
        <v>1.4205999999999999E-3</v>
      </c>
    </row>
    <row r="150" spans="1:7">
      <c r="A150" s="16">
        <v>43466</v>
      </c>
      <c r="B150">
        <v>38.442588999999998</v>
      </c>
      <c r="C150" s="1">
        <f t="shared" si="8"/>
        <v>8.605143378515745E-2</v>
      </c>
      <c r="D150" s="28">
        <v>436.91</v>
      </c>
      <c r="E150" s="1">
        <f t="shared" si="7"/>
        <v>7.2698256813159778E-2</v>
      </c>
      <c r="F150" s="1">
        <f t="shared" ref="F150:F166" si="9">C150-E150</f>
        <v>1.3353176971997671E-2</v>
      </c>
      <c r="G150" s="2"/>
    </row>
    <row r="151" spans="1:7">
      <c r="A151" s="16">
        <v>43497</v>
      </c>
      <c r="B151">
        <v>39.339294000000002</v>
      </c>
      <c r="C151" s="1">
        <f t="shared" si="8"/>
        <v>2.3325822306088817E-2</v>
      </c>
      <c r="D151" s="28">
        <v>446.25</v>
      </c>
      <c r="E151" s="1">
        <f t="shared" si="7"/>
        <v>2.1377400379940958E-2</v>
      </c>
      <c r="F151" s="1">
        <f t="shared" si="9"/>
        <v>1.9484219261478586E-3</v>
      </c>
      <c r="G151" s="2"/>
    </row>
    <row r="152" spans="1:7">
      <c r="A152" s="16">
        <v>43525</v>
      </c>
      <c r="B152">
        <v>39.406787999999999</v>
      </c>
      <c r="C152" s="1">
        <f t="shared" si="8"/>
        <v>1.7156891529368501E-3</v>
      </c>
      <c r="D152" s="29">
        <v>445.31</v>
      </c>
      <c r="E152" s="1">
        <f t="shared" si="7"/>
        <v>-2.1064425770308537E-3</v>
      </c>
      <c r="F152" s="1">
        <f t="shared" si="9"/>
        <v>3.8221317299677038E-3</v>
      </c>
      <c r="G152" s="2">
        <v>1.13813E-2</v>
      </c>
    </row>
    <row r="153" spans="1:7">
      <c r="A153" s="16">
        <v>43556</v>
      </c>
      <c r="B153">
        <v>40.699272000000001</v>
      </c>
      <c r="C153" s="1">
        <f t="shared" si="8"/>
        <v>3.2798511769089211E-2</v>
      </c>
      <c r="D153" s="28">
        <v>455.75</v>
      </c>
      <c r="E153" s="1">
        <f t="shared" si="7"/>
        <v>2.344434214367519E-2</v>
      </c>
      <c r="F153" s="1">
        <f t="shared" si="9"/>
        <v>9.3541696254140216E-3</v>
      </c>
      <c r="G153" s="2"/>
    </row>
    <row r="154" spans="1:7">
      <c r="A154" s="16">
        <v>43586</v>
      </c>
      <c r="B154">
        <v>38.578612999999997</v>
      </c>
      <c r="C154" s="1">
        <f t="shared" si="8"/>
        <v>-5.2105575745925004E-2</v>
      </c>
      <c r="D154" s="29">
        <v>430.58</v>
      </c>
      <c r="E154" s="1">
        <f t="shared" si="7"/>
        <v>-5.5227646736149216E-2</v>
      </c>
      <c r="F154" s="1">
        <f t="shared" si="9"/>
        <v>3.1220709902242127E-3</v>
      </c>
      <c r="G154" s="2"/>
    </row>
    <row r="155" spans="1:7">
      <c r="A155" s="16">
        <v>43617</v>
      </c>
      <c r="B155">
        <v>40.389400000000002</v>
      </c>
      <c r="C155" s="1">
        <f t="shared" si="8"/>
        <v>4.6937586895620331E-2</v>
      </c>
      <c r="D155" s="28">
        <v>455.09</v>
      </c>
      <c r="E155" s="1">
        <f t="shared" si="7"/>
        <v>5.6923219843002526E-2</v>
      </c>
      <c r="F155" s="1">
        <f t="shared" si="9"/>
        <v>-9.9856329473821948E-3</v>
      </c>
      <c r="G155" s="2">
        <v>6.1685000000000004E-3</v>
      </c>
    </row>
    <row r="156" spans="1:7">
      <c r="A156" s="16">
        <v>43647</v>
      </c>
      <c r="B156">
        <v>40.006816999999998</v>
      </c>
      <c r="C156" s="1">
        <f t="shared" si="8"/>
        <v>-9.472361560211473E-3</v>
      </c>
      <c r="D156" s="29">
        <v>448.59</v>
      </c>
      <c r="E156" s="1">
        <f t="shared" si="7"/>
        <v>-1.4282889098859552E-2</v>
      </c>
      <c r="F156" s="1">
        <f t="shared" si="9"/>
        <v>4.8105275386480795E-3</v>
      </c>
      <c r="G156" s="2"/>
    </row>
    <row r="157" spans="1:7">
      <c r="A157" s="16">
        <v>43678</v>
      </c>
      <c r="B157">
        <v>39.252892000000003</v>
      </c>
      <c r="C157" s="1">
        <f t="shared" si="8"/>
        <v>-1.8844913355641202E-2</v>
      </c>
      <c r="D157" s="29">
        <v>435.86</v>
      </c>
      <c r="E157" s="1">
        <f t="shared" si="7"/>
        <v>-2.8377806014400542E-2</v>
      </c>
      <c r="F157" s="1">
        <f t="shared" si="9"/>
        <v>9.5328926587593399E-3</v>
      </c>
      <c r="G157" s="2"/>
    </row>
    <row r="158" spans="1:7">
      <c r="A158" s="16">
        <v>43709</v>
      </c>
      <c r="B158">
        <v>40.222220999999998</v>
      </c>
      <c r="C158" s="1">
        <f t="shared" si="8"/>
        <v>2.4694460729160816E-2</v>
      </c>
      <c r="D158" s="28">
        <v>447.3</v>
      </c>
      <c r="E158" s="1">
        <f t="shared" si="7"/>
        <v>2.6246960033038169E-2</v>
      </c>
      <c r="F158" s="1">
        <f t="shared" si="9"/>
        <v>-1.5524993038773527E-3</v>
      </c>
      <c r="G158" s="2">
        <v>4.0439999999999999E-3</v>
      </c>
    </row>
    <row r="159" spans="1:7">
      <c r="A159" s="16">
        <v>43739</v>
      </c>
      <c r="B159">
        <v>41.791316999999999</v>
      </c>
      <c r="C159" s="1">
        <f t="shared" si="8"/>
        <v>3.901067521855639E-2</v>
      </c>
      <c r="D159" s="28">
        <v>462.32</v>
      </c>
      <c r="E159" s="1">
        <f t="shared" si="7"/>
        <v>3.3579253297563172E-2</v>
      </c>
      <c r="F159" s="1">
        <f t="shared" si="9"/>
        <v>5.431421920993218E-3</v>
      </c>
      <c r="G159" s="2"/>
    </row>
    <row r="160" spans="1:7">
      <c r="A160" s="16">
        <v>43770</v>
      </c>
      <c r="B160">
        <v>42.353138000000001</v>
      </c>
      <c r="C160" s="1">
        <f t="shared" si="8"/>
        <v>1.344348635866166E-2</v>
      </c>
      <c r="D160" s="28">
        <v>467.33</v>
      </c>
      <c r="E160" s="1">
        <f t="shared" si="7"/>
        <v>1.0836649939435894E-2</v>
      </c>
      <c r="F160" s="1">
        <f t="shared" si="9"/>
        <v>2.6068364192257665E-3</v>
      </c>
      <c r="G160" s="2"/>
    </row>
    <row r="161" spans="1:7">
      <c r="A161" s="16">
        <v>43800</v>
      </c>
      <c r="B161">
        <v>43.427489999999999</v>
      </c>
      <c r="C161" s="1">
        <f t="shared" si="8"/>
        <v>2.5366526560558489E-2</v>
      </c>
      <c r="D161" s="28">
        <v>483.99</v>
      </c>
      <c r="E161" s="1">
        <f t="shared" si="7"/>
        <v>3.5649327028010269E-2</v>
      </c>
      <c r="F161" s="1">
        <f t="shared" si="9"/>
        <v>-1.028280046745178E-2</v>
      </c>
      <c r="G161" s="2">
        <v>-1.5418599999999999E-2</v>
      </c>
    </row>
    <row r="162" spans="1:7">
      <c r="A162" s="16">
        <v>43831</v>
      </c>
      <c r="B162">
        <v>42.549624999999999</v>
      </c>
      <c r="C162" s="1">
        <f t="shared" si="8"/>
        <v>-2.0214500078176267E-2</v>
      </c>
      <c r="D162" s="29">
        <v>472.65</v>
      </c>
      <c r="E162" s="1">
        <f t="shared" si="7"/>
        <v>-2.3430236161904205E-2</v>
      </c>
      <c r="F162" s="1">
        <f t="shared" si="9"/>
        <v>3.2157360837279381E-3</v>
      </c>
      <c r="G162" s="2"/>
    </row>
    <row r="163" spans="1:7">
      <c r="A163" s="16">
        <v>43862</v>
      </c>
      <c r="B163">
        <v>39.294193</v>
      </c>
      <c r="C163" s="1">
        <f t="shared" si="8"/>
        <v>-7.6509064415961392E-2</v>
      </c>
      <c r="D163" s="29">
        <v>429.61</v>
      </c>
      <c r="E163" s="1">
        <f t="shared" si="7"/>
        <v>-9.1061038823653795E-2</v>
      </c>
      <c r="F163" s="1">
        <f t="shared" si="9"/>
        <v>1.4551974407692403E-2</v>
      </c>
      <c r="G163" s="2"/>
    </row>
    <row r="164" spans="1:7">
      <c r="A164" s="16">
        <v>43891</v>
      </c>
      <c r="B164">
        <v>33.191493999999999</v>
      </c>
      <c r="C164" s="1">
        <f t="shared" si="8"/>
        <v>-0.15530791025533974</v>
      </c>
      <c r="D164" s="29">
        <v>365.82</v>
      </c>
      <c r="E164" s="1">
        <f t="shared" si="7"/>
        <v>-0.14848350829822399</v>
      </c>
      <c r="F164" s="1">
        <f t="shared" si="9"/>
        <v>-6.8244019571157555E-3</v>
      </c>
      <c r="G164" s="2">
        <v>-4.8782000000000001E-3</v>
      </c>
    </row>
    <row r="165" spans="1:7">
      <c r="A165" s="16">
        <v>43922</v>
      </c>
      <c r="B165">
        <v>35.68</v>
      </c>
      <c r="C165" s="1">
        <f t="shared" si="8"/>
        <v>7.4974208753604277E-2</v>
      </c>
      <c r="D165" s="28">
        <v>392.98</v>
      </c>
      <c r="E165" s="1">
        <f t="shared" si="7"/>
        <v>7.424416379640264E-2</v>
      </c>
      <c r="F165" s="1">
        <f t="shared" si="9"/>
        <v>7.3004495720163654E-4</v>
      </c>
      <c r="G165" s="1"/>
    </row>
    <row r="166" spans="1:7">
      <c r="A166" s="16">
        <v>43952</v>
      </c>
      <c r="B166">
        <v>37.669998</v>
      </c>
      <c r="C166" s="1">
        <f t="shared" si="8"/>
        <v>5.5773486547085138E-2</v>
      </c>
      <c r="D166" s="28">
        <v>409.85</v>
      </c>
      <c r="E166" s="1">
        <f t="shared" si="7"/>
        <v>4.2928393302458234E-2</v>
      </c>
      <c r="F166" s="1">
        <f t="shared" si="9"/>
        <v>1.2845093244626904E-2</v>
      </c>
      <c r="G166" s="1"/>
    </row>
  </sheetData>
  <conditionalFormatting sqref="C1:C7">
    <cfRule type="cellIs" dxfId="93" priority="19" operator="lessThan">
      <formula>0</formula>
    </cfRule>
    <cfRule type="cellIs" dxfId="92" priority="20" operator="greaterThan">
      <formula>0</formula>
    </cfRule>
  </conditionalFormatting>
  <conditionalFormatting sqref="E1:F7">
    <cfRule type="cellIs" dxfId="91" priority="17" operator="lessThan">
      <formula>0</formula>
    </cfRule>
    <cfRule type="cellIs" dxfId="90" priority="18" operator="greaterThan">
      <formula>0</formula>
    </cfRule>
  </conditionalFormatting>
  <conditionalFormatting sqref="G1:G7">
    <cfRule type="cellIs" dxfId="89" priority="15" operator="lessThan">
      <formula>0</formula>
    </cfRule>
    <cfRule type="cellIs" dxfId="88" priority="16" operator="greaterThan">
      <formula>0</formula>
    </cfRule>
  </conditionalFormatting>
  <conditionalFormatting sqref="C12:C166">
    <cfRule type="cellIs" dxfId="87" priority="13" operator="lessThan">
      <formula>0</formula>
    </cfRule>
    <cfRule type="cellIs" dxfId="86" priority="14" operator="greaterThan">
      <formula>0</formula>
    </cfRule>
  </conditionalFormatting>
  <conditionalFormatting sqref="E12:F166">
    <cfRule type="cellIs" dxfId="85" priority="11" operator="lessThan">
      <formula>0</formula>
    </cfRule>
    <cfRule type="cellIs" dxfId="84" priority="12" operator="greaterThan">
      <formula>0</formula>
    </cfRule>
  </conditionalFormatting>
  <conditionalFormatting sqref="G12:G13">
    <cfRule type="cellIs" dxfId="83" priority="9" operator="lessThan">
      <formula>0</formula>
    </cfRule>
    <cfRule type="cellIs" dxfId="82" priority="10" operator="greaterThan">
      <formula>0</formula>
    </cfRule>
  </conditionalFormatting>
  <conditionalFormatting sqref="G14:G166">
    <cfRule type="cellIs" dxfId="81" priority="7" operator="lessThan">
      <formula>0</formula>
    </cfRule>
    <cfRule type="cellIs" dxfId="80" priority="8" operator="greaterThan">
      <formula>0</formula>
    </cfRule>
  </conditionalFormatting>
  <conditionalFormatting sqref="M44:M47">
    <cfRule type="cellIs" dxfId="79" priority="5" operator="lessThan">
      <formula>0</formula>
    </cfRule>
    <cfRule type="cellIs" dxfId="78" priority="6" operator="greaterThan">
      <formula>0</formula>
    </cfRule>
  </conditionalFormatting>
  <conditionalFormatting sqref="J20:J24">
    <cfRule type="cellIs" dxfId="77" priority="3" operator="lessThan">
      <formula>0</formula>
    </cfRule>
    <cfRule type="cellIs" dxfId="76" priority="4" operator="greaterThan">
      <formula>0</formula>
    </cfRule>
  </conditionalFormatting>
  <conditionalFormatting sqref="K21:K24">
    <cfRule type="cellIs" dxfId="75" priority="1" operator="lessThan">
      <formula>0</formula>
    </cfRule>
    <cfRule type="cellIs" dxfId="74" priority="2"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86B93-7FC6-2543-904F-5E1D8EE0B62A}">
  <dimension ref="A1:Y138"/>
  <sheetViews>
    <sheetView zoomScale="115" workbookViewId="0">
      <pane ySplit="11" topLeftCell="A12" activePane="bottomLeft" state="frozen"/>
      <selection pane="bottomLeft" activeCell="A9" sqref="A9"/>
    </sheetView>
  </sheetViews>
  <sheetFormatPr baseColWidth="10" defaultRowHeight="16"/>
  <cols>
    <col min="10" max="10" width="31.1640625" bestFit="1" customWidth="1"/>
    <col min="11" max="11" width="15.8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5.0000000000000001E-4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130</v>
      </c>
      <c r="B3" s="8"/>
      <c r="C3" s="1"/>
      <c r="E3" s="1"/>
      <c r="F3" s="1"/>
      <c r="G3" s="9" t="s">
        <v>13</v>
      </c>
      <c r="H3" s="9">
        <f>SUBTOTAL(1,C13:C241)</f>
        <v>2.9392841749608682E-3</v>
      </c>
      <c r="J3" s="3" t="s">
        <v>14</v>
      </c>
      <c r="K3" s="10">
        <v>1.0583644202765417E-2</v>
      </c>
      <c r="L3" s="3">
        <v>71</v>
      </c>
      <c r="M3" s="9">
        <f>L3/$K$39</f>
        <v>0.56349206349206349</v>
      </c>
      <c r="N3" s="10">
        <f>K3*M3</f>
        <v>5.9637995110820999E-3</v>
      </c>
      <c r="P3" s="4" t="s">
        <v>15</v>
      </c>
      <c r="Q3" s="11">
        <f>$K$27+$K$31</f>
        <v>1.4367382604075413E-2</v>
      </c>
      <c r="R3" s="11">
        <f>$K$27+$K$31*2</f>
        <v>2.5795481033189956E-2</v>
      </c>
      <c r="S3" s="11">
        <f>$K$27+$K$31*3</f>
        <v>3.7223579462304493E-2</v>
      </c>
      <c r="T3" s="6"/>
      <c r="U3" s="5">
        <v>1</v>
      </c>
      <c r="V3" s="5">
        <v>92</v>
      </c>
      <c r="W3" s="12">
        <f>Y3*$K$39</f>
        <v>85.932000000000002</v>
      </c>
      <c r="X3" s="13">
        <f>V3/$K$39</f>
        <v>0.73015873015873012</v>
      </c>
      <c r="Y3" s="13">
        <v>0.68200000000000005</v>
      </c>
    </row>
    <row r="4" spans="1:25">
      <c r="A4" t="s">
        <v>131</v>
      </c>
      <c r="C4" s="1"/>
      <c r="E4" s="1"/>
      <c r="F4" s="1"/>
      <c r="G4" s="9" t="s">
        <v>16</v>
      </c>
      <c r="H4" s="14">
        <f>SUBTOTAL(2,C13:C241)</f>
        <v>126</v>
      </c>
      <c r="J4" s="3" t="s">
        <v>17</v>
      </c>
      <c r="K4" s="10">
        <v>-6.9288896791140937E-3</v>
      </c>
      <c r="L4" s="3">
        <v>55</v>
      </c>
      <c r="M4" s="9">
        <f>L4/$K$39</f>
        <v>0.43650793650793651</v>
      </c>
      <c r="N4" s="10">
        <f>K4*M4</f>
        <v>-3.0245153361212313E-3</v>
      </c>
      <c r="P4" s="4" t="s">
        <v>18</v>
      </c>
      <c r="Q4" s="11">
        <f>$K$27-$K$31</f>
        <v>-8.4888142541536746E-3</v>
      </c>
      <c r="R4" s="11">
        <f>$K$27-$K$31*2</f>
        <v>-1.9916912683268218E-2</v>
      </c>
      <c r="S4" s="11">
        <f>$K$27-$K$31*3</f>
        <v>-3.1345011112382762E-2</v>
      </c>
      <c r="T4" s="6"/>
      <c r="U4" s="5">
        <v>2</v>
      </c>
      <c r="V4" s="5">
        <v>119</v>
      </c>
      <c r="W4" s="12">
        <f>Y4*$K$39</f>
        <v>120.20399999999999</v>
      </c>
      <c r="X4" s="13">
        <f>V4/$K$39</f>
        <v>0.94444444444444442</v>
      </c>
      <c r="Y4" s="13">
        <v>0.95399999999999996</v>
      </c>
    </row>
    <row r="5" spans="1:25">
      <c r="A5" t="s">
        <v>132</v>
      </c>
      <c r="B5" t="s">
        <v>133</v>
      </c>
      <c r="C5" s="1"/>
      <c r="E5" s="1"/>
      <c r="F5" s="1"/>
      <c r="G5" s="1"/>
      <c r="J5" s="3" t="s">
        <v>19</v>
      </c>
      <c r="K5" s="3"/>
      <c r="L5" s="27">
        <f>K39-L4-$L$3</f>
        <v>0</v>
      </c>
      <c r="M5" s="3"/>
      <c r="N5" s="3"/>
      <c r="P5" s="6"/>
      <c r="Q5" s="6"/>
      <c r="R5" s="6"/>
      <c r="S5" s="6"/>
      <c r="T5" s="6"/>
      <c r="U5" s="5">
        <v>3</v>
      </c>
      <c r="V5" s="5">
        <v>126</v>
      </c>
      <c r="W5" s="12">
        <f>Y5*$K$39</f>
        <v>125.748</v>
      </c>
      <c r="X5" s="13">
        <f>V5/$K$39</f>
        <v>1</v>
      </c>
      <c r="Y5" s="13">
        <v>0.998</v>
      </c>
    </row>
    <row r="6" spans="1:25">
      <c r="A6" t="s">
        <v>134</v>
      </c>
      <c r="C6" s="1"/>
      <c r="E6" s="1"/>
      <c r="F6" s="1"/>
      <c r="G6" s="1"/>
    </row>
    <row r="7" spans="1:25">
      <c r="A7" t="s">
        <v>135</v>
      </c>
      <c r="C7" s="1"/>
      <c r="E7" s="1"/>
      <c r="F7" s="1"/>
      <c r="G7" s="1"/>
      <c r="P7" s="6"/>
      <c r="Q7" s="6"/>
      <c r="R7" s="6"/>
      <c r="S7" s="6"/>
      <c r="T7" s="6"/>
      <c r="U7" s="6"/>
      <c r="V7" s="6"/>
      <c r="W7" s="6"/>
      <c r="X7" s="6"/>
      <c r="Y7" s="6"/>
    </row>
    <row r="8" spans="1:25">
      <c r="A8" s="53" t="s">
        <v>136</v>
      </c>
      <c r="B8" t="s">
        <v>352</v>
      </c>
      <c r="C8" s="1"/>
      <c r="E8" s="1"/>
      <c r="F8" s="1"/>
      <c r="G8" s="1"/>
      <c r="P8" s="6"/>
      <c r="Q8" s="6"/>
      <c r="R8" s="6"/>
      <c r="S8" s="6"/>
      <c r="T8" s="6"/>
      <c r="U8" s="6"/>
      <c r="V8" s="6"/>
      <c r="W8" s="6"/>
      <c r="X8" s="6"/>
      <c r="Y8" s="6"/>
    </row>
    <row r="9" spans="1:25">
      <c r="A9" t="s">
        <v>353</v>
      </c>
    </row>
    <row r="11" spans="1:25">
      <c r="A11" s="15" t="s">
        <v>20</v>
      </c>
      <c r="B11" s="15" t="s">
        <v>21</v>
      </c>
      <c r="C11" s="15" t="s">
        <v>22</v>
      </c>
      <c r="D11" s="15"/>
      <c r="E11" s="15"/>
      <c r="F11" s="15"/>
      <c r="G11" s="15" t="s">
        <v>137</v>
      </c>
    </row>
    <row r="12" spans="1:25">
      <c r="A12" s="16">
        <v>40118</v>
      </c>
      <c r="B12">
        <v>49.034809000000003</v>
      </c>
      <c r="D12" s="29"/>
      <c r="E12" s="1"/>
      <c r="F12" s="1"/>
      <c r="G12" s="2"/>
      <c r="J12" s="3" t="s">
        <v>27</v>
      </c>
      <c r="K12" s="18" t="s">
        <v>28</v>
      </c>
      <c r="L12" s="18" t="s">
        <v>29</v>
      </c>
      <c r="M12" s="18" t="s">
        <v>3</v>
      </c>
    </row>
    <row r="13" spans="1:25">
      <c r="A13" s="16">
        <v>40148</v>
      </c>
      <c r="B13">
        <v>47.512833000000001</v>
      </c>
      <c r="C13" s="1">
        <f>(B13/B12)-1</f>
        <v>-3.1038685191982718E-2</v>
      </c>
      <c r="D13" s="29"/>
      <c r="E13" s="1"/>
      <c r="F13" s="1"/>
      <c r="G13" s="2"/>
      <c r="J13" s="10">
        <v>-0.03</v>
      </c>
      <c r="K13" s="10">
        <v>-0.03</v>
      </c>
      <c r="L13" s="3" t="s">
        <v>138</v>
      </c>
      <c r="M13" s="3">
        <v>1</v>
      </c>
    </row>
    <row r="14" spans="1:25">
      <c r="A14" s="16">
        <v>40179</v>
      </c>
      <c r="B14">
        <v>48.566654</v>
      </c>
      <c r="C14" s="1">
        <f>(B14/B13)-1</f>
        <v>2.2179713005115786E-2</v>
      </c>
      <c r="D14" s="28"/>
      <c r="E14" s="1"/>
      <c r="F14" s="1"/>
      <c r="G14" s="1">
        <v>1.4999999999999999E-2</v>
      </c>
      <c r="J14" s="10">
        <v>-0.02</v>
      </c>
      <c r="K14" s="10">
        <v>-0.02</v>
      </c>
      <c r="L14" s="21" t="s">
        <v>139</v>
      </c>
      <c r="M14" s="3">
        <v>2</v>
      </c>
    </row>
    <row r="15" spans="1:25">
      <c r="A15" s="16">
        <v>40210</v>
      </c>
      <c r="B15">
        <v>48.791846999999997</v>
      </c>
      <c r="C15" s="1">
        <f t="shared" ref="C15:C78" si="0">(B15/B14)-1</f>
        <v>4.6367822662849445E-3</v>
      </c>
      <c r="D15" s="28"/>
      <c r="E15" s="1"/>
      <c r="F15" s="1"/>
      <c r="G15" s="20"/>
      <c r="J15" s="10">
        <v>-0.01</v>
      </c>
      <c r="K15" s="10">
        <v>-0.01</v>
      </c>
      <c r="L15" s="21" t="s">
        <v>140</v>
      </c>
      <c r="M15" s="3">
        <v>7</v>
      </c>
    </row>
    <row r="16" spans="1:25">
      <c r="A16" s="16">
        <v>40238</v>
      </c>
      <c r="B16">
        <v>48.465491999999998</v>
      </c>
      <c r="C16" s="1">
        <f t="shared" si="0"/>
        <v>-6.6887199412639653E-3</v>
      </c>
      <c r="D16" s="29"/>
      <c r="E16" s="1"/>
      <c r="F16" s="1"/>
      <c r="G16" s="20"/>
      <c r="J16" s="10">
        <v>0</v>
      </c>
      <c r="K16" s="10">
        <v>0</v>
      </c>
      <c r="L16" s="21" t="s">
        <v>141</v>
      </c>
      <c r="M16" s="3">
        <v>45</v>
      </c>
    </row>
    <row r="17" spans="1:15">
      <c r="A17" s="16">
        <v>40269</v>
      </c>
      <c r="B17">
        <v>48.859966</v>
      </c>
      <c r="C17" s="1">
        <f t="shared" si="0"/>
        <v>8.1392756726785809E-3</v>
      </c>
      <c r="D17" s="29"/>
      <c r="E17" s="1"/>
      <c r="F17" s="1"/>
      <c r="G17" s="1">
        <v>3.7000000000000005E-2</v>
      </c>
      <c r="J17" s="10">
        <v>0.01</v>
      </c>
      <c r="K17" s="10">
        <v>0.01</v>
      </c>
      <c r="L17" s="3" t="s">
        <v>142</v>
      </c>
      <c r="M17" s="3">
        <v>45</v>
      </c>
    </row>
    <row r="18" spans="1:15">
      <c r="A18" s="16">
        <v>40299</v>
      </c>
      <c r="B18">
        <v>49.631492999999999</v>
      </c>
      <c r="C18" s="1">
        <f t="shared" si="0"/>
        <v>1.579057586736754E-2</v>
      </c>
      <c r="D18" s="29"/>
      <c r="E18" s="1"/>
      <c r="F18" s="1"/>
      <c r="G18" s="20"/>
      <c r="J18" s="10">
        <v>0.02</v>
      </c>
      <c r="K18" s="10">
        <v>0.02</v>
      </c>
      <c r="L18" s="3" t="s">
        <v>143</v>
      </c>
      <c r="M18" s="3">
        <v>14</v>
      </c>
    </row>
    <row r="19" spans="1:15">
      <c r="A19" s="16">
        <v>40330</v>
      </c>
      <c r="B19">
        <v>50.794823000000001</v>
      </c>
      <c r="C19" s="1">
        <f t="shared" si="0"/>
        <v>2.3439351300594602E-2</v>
      </c>
      <c r="D19" s="28"/>
      <c r="E19" s="1"/>
      <c r="F19" s="1"/>
      <c r="G19" s="20"/>
      <c r="J19" s="10">
        <v>0.03</v>
      </c>
      <c r="K19" s="10">
        <v>0.03</v>
      </c>
      <c r="L19" s="3" t="s">
        <v>144</v>
      </c>
      <c r="M19" s="3">
        <v>12</v>
      </c>
    </row>
    <row r="20" spans="1:15">
      <c r="A20" s="16">
        <v>40360</v>
      </c>
      <c r="B20">
        <v>51.217606000000004</v>
      </c>
      <c r="C20" s="1">
        <f t="shared" si="0"/>
        <v>8.3233482278302073E-3</v>
      </c>
      <c r="D20" s="29"/>
      <c r="E20" s="1"/>
      <c r="F20" s="1"/>
      <c r="G20" s="1">
        <v>0.03</v>
      </c>
      <c r="J20" s="10"/>
      <c r="K20" s="3" t="s">
        <v>37</v>
      </c>
      <c r="L20" s="3" t="s">
        <v>145</v>
      </c>
      <c r="M20" s="3">
        <v>0</v>
      </c>
    </row>
    <row r="21" spans="1:15">
      <c r="A21" s="16">
        <v>40391</v>
      </c>
      <c r="B21">
        <v>52.24147</v>
      </c>
      <c r="C21" s="1">
        <f t="shared" si="0"/>
        <v>1.9990469683413004E-2</v>
      </c>
      <c r="D21" s="28"/>
      <c r="E21" s="1"/>
      <c r="F21" s="1"/>
      <c r="G21" s="20"/>
      <c r="J21" s="2"/>
      <c r="K21" s="2"/>
    </row>
    <row r="22" spans="1:15">
      <c r="A22" s="16">
        <v>40422</v>
      </c>
      <c r="B22">
        <v>52.430613999999998</v>
      </c>
      <c r="C22" s="1">
        <f t="shared" si="0"/>
        <v>3.620571932604566E-3</v>
      </c>
      <c r="D22" s="28"/>
      <c r="E22" s="1"/>
      <c r="F22" s="1"/>
      <c r="G22" s="20"/>
    </row>
    <row r="23" spans="1:15">
      <c r="A23" s="16">
        <v>40452</v>
      </c>
      <c r="B23">
        <v>52.634815000000003</v>
      </c>
      <c r="C23" s="1">
        <f t="shared" si="0"/>
        <v>3.8946902281176143E-3</v>
      </c>
      <c r="D23" s="29"/>
      <c r="E23" s="1"/>
      <c r="F23" s="1"/>
      <c r="G23" s="1">
        <v>0.02</v>
      </c>
    </row>
    <row r="24" spans="1:15">
      <c r="A24" s="16">
        <v>40483</v>
      </c>
      <c r="B24">
        <v>52.074497000000001</v>
      </c>
      <c r="C24" s="1">
        <f t="shared" si="0"/>
        <v>-1.064538746835153E-2</v>
      </c>
      <c r="D24" s="29"/>
      <c r="E24" s="1"/>
      <c r="F24" s="1"/>
      <c r="G24" s="20"/>
      <c r="O24" t="s">
        <v>234</v>
      </c>
    </row>
    <row r="25" spans="1:15">
      <c r="A25" s="16">
        <v>40513</v>
      </c>
      <c r="B25">
        <v>50.619354000000001</v>
      </c>
      <c r="C25" s="1">
        <f t="shared" si="0"/>
        <v>-2.7943486424842456E-2</v>
      </c>
      <c r="D25" s="29"/>
      <c r="E25" s="1"/>
      <c r="F25" s="1"/>
      <c r="G25" s="20"/>
      <c r="O25" t="s">
        <v>157</v>
      </c>
    </row>
    <row r="26" spans="1:15">
      <c r="A26" s="16">
        <v>40544</v>
      </c>
      <c r="B26">
        <v>51.176516999999997</v>
      </c>
      <c r="C26" s="1">
        <f t="shared" si="0"/>
        <v>1.1006916445436943E-2</v>
      </c>
      <c r="D26" s="29"/>
      <c r="E26" s="1"/>
      <c r="F26" s="1"/>
      <c r="G26" s="1">
        <v>-0.01</v>
      </c>
      <c r="J26" s="23" t="s">
        <v>146</v>
      </c>
    </row>
    <row r="27" spans="1:15">
      <c r="A27" s="16">
        <v>40575</v>
      </c>
      <c r="B27">
        <v>50.88279</v>
      </c>
      <c r="C27" s="1">
        <f t="shared" si="0"/>
        <v>-5.7394878983264563E-3</v>
      </c>
      <c r="D27" s="29"/>
      <c r="E27" s="1"/>
      <c r="F27" s="1"/>
      <c r="G27" s="20"/>
      <c r="J27" s="3" t="s">
        <v>40</v>
      </c>
      <c r="K27" s="24">
        <v>2.9392841749608682E-3</v>
      </c>
    </row>
    <row r="28" spans="1:15">
      <c r="A28" s="16">
        <v>40603</v>
      </c>
      <c r="B28">
        <v>50.791035000000001</v>
      </c>
      <c r="C28" s="1">
        <f t="shared" si="0"/>
        <v>-1.8032619673566952E-3</v>
      </c>
      <c r="D28" s="29"/>
      <c r="E28" s="1"/>
      <c r="F28" s="1"/>
      <c r="G28" s="20"/>
      <c r="J28" s="3" t="s">
        <v>41</v>
      </c>
      <c r="K28" s="24">
        <v>1.0180959262875264E-3</v>
      </c>
    </row>
    <row r="29" spans="1:15">
      <c r="A29" s="16">
        <v>40634</v>
      </c>
      <c r="B29">
        <v>51.600490999999998</v>
      </c>
      <c r="C29" s="1">
        <f t="shared" si="0"/>
        <v>1.5936985729863462E-2</v>
      </c>
      <c r="D29" s="28"/>
      <c r="E29" s="1"/>
      <c r="F29" s="1"/>
      <c r="G29" s="1">
        <v>2.8999999999999998E-2</v>
      </c>
      <c r="J29" s="3" t="s">
        <v>42</v>
      </c>
      <c r="K29" s="24">
        <v>1.9429293296310268E-3</v>
      </c>
    </row>
    <row r="30" spans="1:15">
      <c r="A30" s="16">
        <v>40664</v>
      </c>
      <c r="B30">
        <v>52.585433999999999</v>
      </c>
      <c r="C30" s="1">
        <f t="shared" si="0"/>
        <v>1.908786100504356E-2</v>
      </c>
      <c r="D30" s="29"/>
      <c r="E30" s="1"/>
      <c r="F30" s="1"/>
      <c r="G30" s="20"/>
      <c r="J30" s="3" t="s">
        <v>43</v>
      </c>
      <c r="K30" s="3" t="e">
        <v>#N/A</v>
      </c>
    </row>
    <row r="31" spans="1:15">
      <c r="A31" s="16">
        <v>40695</v>
      </c>
      <c r="B31">
        <v>52.466282</v>
      </c>
      <c r="C31" s="1">
        <f t="shared" si="0"/>
        <v>-2.265874614631902E-3</v>
      </c>
      <c r="D31" s="29"/>
      <c r="E31" s="1"/>
      <c r="F31" s="1"/>
      <c r="G31" s="20"/>
      <c r="J31" s="3" t="s">
        <v>44</v>
      </c>
      <c r="K31" s="24">
        <v>1.1428098429114544E-2</v>
      </c>
    </row>
    <row r="32" spans="1:15">
      <c r="A32" s="16">
        <v>40725</v>
      </c>
      <c r="B32">
        <v>53.613159000000003</v>
      </c>
      <c r="C32" s="1">
        <f t="shared" si="0"/>
        <v>2.1859315283671243E-2</v>
      </c>
      <c r="D32" s="28"/>
      <c r="E32" s="1"/>
      <c r="F32" s="1"/>
      <c r="G32" s="1">
        <v>-1E-3</v>
      </c>
      <c r="J32" s="3" t="s">
        <v>45</v>
      </c>
      <c r="K32" s="24">
        <v>1.306014337055303E-4</v>
      </c>
    </row>
    <row r="33" spans="1:13">
      <c r="A33" s="16">
        <v>40756</v>
      </c>
      <c r="B33">
        <v>55.102642000000003</v>
      </c>
      <c r="C33" s="1">
        <f t="shared" si="0"/>
        <v>2.7782041345483899E-2</v>
      </c>
      <c r="D33" s="28"/>
      <c r="E33" s="1"/>
      <c r="F33" s="1"/>
      <c r="G33" s="20"/>
      <c r="J33" s="3" t="s">
        <v>46</v>
      </c>
      <c r="K33" s="25">
        <v>0.45399226630279577</v>
      </c>
    </row>
    <row r="34" spans="1:13">
      <c r="A34" s="16">
        <v>40787</v>
      </c>
      <c r="B34">
        <v>55.404437999999999</v>
      </c>
      <c r="C34" s="1">
        <f t="shared" si="0"/>
        <v>5.4769787626516298E-3</v>
      </c>
      <c r="D34" s="28"/>
      <c r="E34" s="1"/>
      <c r="F34" s="1"/>
      <c r="G34" s="20"/>
      <c r="J34" s="3" t="s">
        <v>47</v>
      </c>
      <c r="K34" s="25">
        <v>-2.6531097247697163E-3</v>
      </c>
    </row>
    <row r="35" spans="1:13">
      <c r="A35" s="16">
        <v>40817</v>
      </c>
      <c r="B35">
        <v>55.133330999999998</v>
      </c>
      <c r="C35" s="1">
        <f t="shared" si="0"/>
        <v>-4.8932361699978166E-3</v>
      </c>
      <c r="D35" s="29"/>
      <c r="E35" s="1"/>
      <c r="F35" s="1"/>
      <c r="G35" s="1">
        <v>4.7E-2</v>
      </c>
      <c r="J35" s="3" t="s">
        <v>48</v>
      </c>
      <c r="K35" s="24">
        <v>6.0637994212451418E-2</v>
      </c>
    </row>
    <row r="36" spans="1:13">
      <c r="A36" s="16">
        <v>40848</v>
      </c>
      <c r="B36">
        <v>55.481945000000003</v>
      </c>
      <c r="C36" s="1">
        <f t="shared" si="0"/>
        <v>6.3231078855003897E-3</v>
      </c>
      <c r="D36" s="28"/>
      <c r="E36" s="1"/>
      <c r="F36" s="1"/>
      <c r="G36" s="20"/>
      <c r="J36" s="3" t="s">
        <v>49</v>
      </c>
      <c r="K36" s="24">
        <v>-3.1038685191982718E-2</v>
      </c>
    </row>
    <row r="37" spans="1:13">
      <c r="A37" s="16">
        <v>40878</v>
      </c>
      <c r="B37">
        <v>55.959747</v>
      </c>
      <c r="C37" s="1">
        <f t="shared" si="0"/>
        <v>8.6118466106406277E-3</v>
      </c>
      <c r="D37" s="28"/>
      <c r="E37" s="1"/>
      <c r="F37" s="1"/>
      <c r="G37" s="20"/>
      <c r="J37" s="3" t="s">
        <v>50</v>
      </c>
      <c r="K37" s="24">
        <v>2.95993090204687E-2</v>
      </c>
    </row>
    <row r="38" spans="1:13">
      <c r="A38" s="16">
        <v>40909</v>
      </c>
      <c r="B38">
        <v>56.418574999999997</v>
      </c>
      <c r="C38" s="1">
        <f t="shared" si="0"/>
        <v>8.1992507936106129E-3</v>
      </c>
      <c r="D38" s="28"/>
      <c r="E38" s="1"/>
      <c r="F38" s="1"/>
      <c r="G38" s="1">
        <v>3.2000000000000001E-2</v>
      </c>
      <c r="J38" s="3" t="s">
        <v>51</v>
      </c>
      <c r="K38" s="25">
        <v>0.3703498060450694</v>
      </c>
    </row>
    <row r="39" spans="1:13">
      <c r="A39" s="16">
        <v>40940</v>
      </c>
      <c r="B39">
        <v>56.010016999999998</v>
      </c>
      <c r="C39" s="1">
        <f t="shared" si="0"/>
        <v>-7.2415512089768486E-3</v>
      </c>
      <c r="D39" s="29"/>
      <c r="E39" s="1"/>
      <c r="F39" s="1"/>
      <c r="G39" s="20"/>
      <c r="J39" s="3" t="s">
        <v>16</v>
      </c>
      <c r="K39" s="3">
        <v>126</v>
      </c>
    </row>
    <row r="40" spans="1:13">
      <c r="A40" s="16">
        <v>40969</v>
      </c>
      <c r="B40">
        <v>55.452289999999998</v>
      </c>
      <c r="C40" s="1">
        <f t="shared" si="0"/>
        <v>-9.9576295433011497E-3</v>
      </c>
      <c r="D40" s="28"/>
      <c r="E40" s="1"/>
      <c r="F40" s="1"/>
      <c r="G40" s="20"/>
    </row>
    <row r="41" spans="1:13">
      <c r="A41" s="16">
        <v>41000</v>
      </c>
      <c r="B41">
        <v>56.390469000000003</v>
      </c>
      <c r="C41" s="1">
        <f t="shared" si="0"/>
        <v>1.6918670085581677E-2</v>
      </c>
      <c r="D41" s="28"/>
      <c r="E41" s="1"/>
      <c r="F41" s="1"/>
      <c r="G41" s="1">
        <v>1.7000000000000001E-2</v>
      </c>
    </row>
    <row r="42" spans="1:13">
      <c r="A42" s="16">
        <v>41030</v>
      </c>
      <c r="B42">
        <v>57.052531999999999</v>
      </c>
      <c r="C42" s="1">
        <f t="shared" si="0"/>
        <v>1.1740689725421527E-2</v>
      </c>
      <c r="D42" s="29"/>
      <c r="E42" s="1"/>
      <c r="F42" s="1"/>
      <c r="G42" s="20"/>
    </row>
    <row r="43" spans="1:13">
      <c r="A43" s="16">
        <v>41061</v>
      </c>
      <c r="B43">
        <v>56.981087000000002</v>
      </c>
      <c r="C43" s="1">
        <f t="shared" si="0"/>
        <v>-1.252266945838576E-3</v>
      </c>
      <c r="D43" s="29"/>
      <c r="E43" s="1"/>
      <c r="F43" s="1"/>
      <c r="G43" s="20"/>
      <c r="J43" s="3" t="s">
        <v>75</v>
      </c>
      <c r="K43" s="3" t="s">
        <v>147</v>
      </c>
      <c r="L43" s="3" t="s">
        <v>54</v>
      </c>
      <c r="M43" s="3" t="s">
        <v>55</v>
      </c>
    </row>
    <row r="44" spans="1:13">
      <c r="A44" s="16">
        <v>41091</v>
      </c>
      <c r="B44">
        <v>57.441208000000003</v>
      </c>
      <c r="C44" s="1">
        <f t="shared" si="0"/>
        <v>8.0749775798416579E-3</v>
      </c>
      <c r="D44" s="28"/>
      <c r="E44" s="1"/>
      <c r="F44" s="1"/>
      <c r="G44" s="1">
        <v>5.0000000000000001E-3</v>
      </c>
      <c r="J44" s="3" t="s">
        <v>56</v>
      </c>
      <c r="K44" s="9">
        <v>0.1008</v>
      </c>
      <c r="L44" s="9">
        <v>3.1300000000000001E-2</v>
      </c>
      <c r="M44" s="9">
        <f>K44-L44</f>
        <v>6.9500000000000006E-2</v>
      </c>
    </row>
    <row r="45" spans="1:13">
      <c r="A45" s="16">
        <v>41122</v>
      </c>
      <c r="B45">
        <v>57.484366999999999</v>
      </c>
      <c r="C45" s="1">
        <f t="shared" si="0"/>
        <v>7.5135954661664783E-4</v>
      </c>
      <c r="D45" s="29"/>
      <c r="E45" s="1"/>
      <c r="F45" s="1"/>
      <c r="G45" s="20"/>
      <c r="J45" s="3" t="s">
        <v>57</v>
      </c>
      <c r="K45" s="9">
        <v>4.8800000000000003E-2</v>
      </c>
      <c r="L45" s="9">
        <v>2.87E-2</v>
      </c>
      <c r="M45" s="9">
        <f>K45-L45</f>
        <v>2.0100000000000003E-2</v>
      </c>
    </row>
    <row r="46" spans="1:13">
      <c r="A46" s="16">
        <v>41153</v>
      </c>
      <c r="B46">
        <v>57.470688000000003</v>
      </c>
      <c r="C46" s="1">
        <f t="shared" si="0"/>
        <v>-2.3796034841949698E-4</v>
      </c>
      <c r="D46" s="29"/>
      <c r="E46" s="1"/>
      <c r="F46" s="1"/>
      <c r="G46" s="20"/>
      <c r="J46" s="3" t="s">
        <v>58</v>
      </c>
      <c r="K46" s="9">
        <v>3.56E-2</v>
      </c>
      <c r="L46" s="9">
        <v>1.95E-2</v>
      </c>
      <c r="M46" s="9">
        <f>K46-L46</f>
        <v>1.61E-2</v>
      </c>
    </row>
    <row r="47" spans="1:13">
      <c r="A47" s="16">
        <v>41183</v>
      </c>
      <c r="B47">
        <v>57.331364000000001</v>
      </c>
      <c r="C47" s="1">
        <f t="shared" si="0"/>
        <v>-2.4242619124379416E-3</v>
      </c>
      <c r="D47" s="29"/>
      <c r="E47" s="1"/>
      <c r="F47" s="1"/>
      <c r="G47" s="1">
        <v>5.0000000000000001E-3</v>
      </c>
      <c r="J47" s="3" t="s">
        <v>59</v>
      </c>
      <c r="K47" s="9">
        <v>3.56E-2</v>
      </c>
      <c r="L47" s="9">
        <v>0</v>
      </c>
      <c r="M47" s="9">
        <f>K47-L47</f>
        <v>3.56E-2</v>
      </c>
    </row>
    <row r="48" spans="1:13">
      <c r="A48" s="16">
        <v>41214</v>
      </c>
      <c r="B48">
        <v>57.564982999999998</v>
      </c>
      <c r="C48" s="1">
        <f t="shared" si="0"/>
        <v>4.0748899677320871E-3</v>
      </c>
      <c r="D48" s="28"/>
      <c r="E48" s="1"/>
      <c r="F48" s="1"/>
      <c r="G48" s="20"/>
    </row>
    <row r="49" spans="1:11">
      <c r="A49" s="16">
        <v>41244</v>
      </c>
      <c r="B49">
        <v>56.727417000000003</v>
      </c>
      <c r="C49" s="1">
        <f t="shared" si="0"/>
        <v>-1.4549921781441211E-2</v>
      </c>
      <c r="D49" s="29"/>
      <c r="E49" s="1"/>
      <c r="F49" s="1"/>
      <c r="G49" s="20"/>
    </row>
    <row r="50" spans="1:11">
      <c r="A50" s="16">
        <v>41275</v>
      </c>
      <c r="B50">
        <v>57.016978999999999</v>
      </c>
      <c r="C50" s="1">
        <f t="shared" si="0"/>
        <v>5.1044453513544585E-3</v>
      </c>
      <c r="D50" s="28"/>
      <c r="E50" s="1"/>
      <c r="F50" s="1"/>
      <c r="G50" s="1">
        <v>3.6000000000000004E-2</v>
      </c>
      <c r="J50" s="23" t="s">
        <v>77</v>
      </c>
      <c r="K50" s="3"/>
    </row>
    <row r="51" spans="1:11">
      <c r="A51" s="16">
        <v>41306</v>
      </c>
      <c r="B51">
        <v>57.395446999999997</v>
      </c>
      <c r="C51" s="1">
        <f t="shared" si="0"/>
        <v>6.6378122208123891E-3</v>
      </c>
      <c r="D51" s="28"/>
      <c r="E51" s="1"/>
      <c r="F51" s="1"/>
      <c r="G51" s="20"/>
      <c r="J51" s="3" t="s">
        <v>148</v>
      </c>
      <c r="K51" s="9">
        <v>2.35E-2</v>
      </c>
    </row>
    <row r="52" spans="1:11">
      <c r="A52" s="16">
        <v>41334</v>
      </c>
      <c r="B52">
        <v>57.500926999999997</v>
      </c>
      <c r="C52" s="1">
        <f t="shared" si="0"/>
        <v>1.837776435472227E-3</v>
      </c>
      <c r="D52" s="29"/>
      <c r="E52" s="1"/>
      <c r="F52" s="1"/>
      <c r="G52" s="20"/>
      <c r="J52" s="3" t="s">
        <v>149</v>
      </c>
      <c r="K52" s="9">
        <v>2.0400000000000001E-2</v>
      </c>
    </row>
    <row r="53" spans="1:11">
      <c r="A53" s="16">
        <v>41365</v>
      </c>
      <c r="B53">
        <v>57.944389000000001</v>
      </c>
      <c r="C53" s="1">
        <f t="shared" si="0"/>
        <v>7.7122582736797174E-3</v>
      </c>
      <c r="D53" s="28"/>
      <c r="E53" s="1"/>
      <c r="F53" s="1"/>
      <c r="G53" s="1">
        <v>5.0000000000000001E-3</v>
      </c>
      <c r="J53" s="3" t="s">
        <v>150</v>
      </c>
      <c r="K53" s="9">
        <v>1.9699999999999999E-2</v>
      </c>
    </row>
    <row r="54" spans="1:11">
      <c r="A54" s="16">
        <v>41395</v>
      </c>
      <c r="B54">
        <v>56.930286000000002</v>
      </c>
      <c r="C54" s="1">
        <f t="shared" si="0"/>
        <v>-1.750131492455631E-2</v>
      </c>
      <c r="D54" s="28"/>
      <c r="E54" s="1"/>
      <c r="F54" s="1"/>
      <c r="G54" s="20"/>
      <c r="J54" s="3" t="s">
        <v>151</v>
      </c>
      <c r="K54" s="9">
        <v>1.95E-2</v>
      </c>
    </row>
    <row r="55" spans="1:11">
      <c r="A55" s="16">
        <v>41426</v>
      </c>
      <c r="B55">
        <v>56.079945000000002</v>
      </c>
      <c r="C55" s="1">
        <f t="shared" si="0"/>
        <v>-1.493653132183459E-2</v>
      </c>
      <c r="D55" s="28"/>
      <c r="E55" s="1"/>
      <c r="F55" s="1"/>
      <c r="G55" s="20"/>
      <c r="J55" s="3" t="s">
        <v>152</v>
      </c>
      <c r="K55" s="9">
        <v>1.9400000000000001E-2</v>
      </c>
    </row>
    <row r="56" spans="1:11">
      <c r="A56" s="16">
        <v>41456</v>
      </c>
      <c r="B56">
        <v>56.116905000000003</v>
      </c>
      <c r="C56" s="1">
        <f t="shared" si="0"/>
        <v>6.5905913424124662E-4</v>
      </c>
      <c r="D56" s="29"/>
      <c r="E56" s="1"/>
      <c r="F56" s="1"/>
      <c r="G56" s="1">
        <v>3.2000000000000001E-2</v>
      </c>
      <c r="J56" s="3" t="s">
        <v>153</v>
      </c>
      <c r="K56" s="9">
        <v>1.83E-2</v>
      </c>
    </row>
    <row r="57" spans="1:11">
      <c r="A57" s="16">
        <v>41487</v>
      </c>
      <c r="B57">
        <v>55.664287999999999</v>
      </c>
      <c r="C57" s="1">
        <f t="shared" si="0"/>
        <v>-8.0656087501619345E-3</v>
      </c>
      <c r="D57" s="28"/>
      <c r="E57" s="1"/>
      <c r="F57" s="1"/>
      <c r="G57" s="20"/>
      <c r="J57" s="3" t="s">
        <v>154</v>
      </c>
      <c r="K57" s="9">
        <v>1.8200000000000001E-2</v>
      </c>
    </row>
    <row r="58" spans="1:11">
      <c r="A58" s="16">
        <v>41518</v>
      </c>
      <c r="B58">
        <v>56.371098000000003</v>
      </c>
      <c r="C58" s="1">
        <f t="shared" si="0"/>
        <v>1.2697728209511983E-2</v>
      </c>
      <c r="D58" s="29"/>
      <c r="E58" s="1"/>
      <c r="F58" s="1"/>
      <c r="G58" s="20"/>
      <c r="J58" s="3" t="s">
        <v>155</v>
      </c>
      <c r="K58" s="9">
        <v>1.7899999999999999E-2</v>
      </c>
    </row>
    <row r="59" spans="1:11">
      <c r="A59" s="16">
        <v>41548</v>
      </c>
      <c r="B59">
        <v>56.704059999999998</v>
      </c>
      <c r="C59" s="1">
        <f t="shared" si="0"/>
        <v>5.9066083828984706E-3</v>
      </c>
      <c r="D59" s="29"/>
      <c r="E59" s="1"/>
      <c r="F59" s="1"/>
      <c r="G59" s="1">
        <v>3.2000000000000001E-2</v>
      </c>
      <c r="J59" s="3" t="s">
        <v>156</v>
      </c>
      <c r="K59" s="9">
        <v>1.7600000000000001E-2</v>
      </c>
    </row>
    <row r="60" spans="1:11">
      <c r="A60" s="16">
        <v>41579</v>
      </c>
      <c r="B60">
        <v>56.589599999999997</v>
      </c>
      <c r="C60" s="1">
        <f t="shared" si="0"/>
        <v>-2.0185503471885635E-3</v>
      </c>
      <c r="D60" s="29"/>
      <c r="E60" s="1"/>
      <c r="F60" s="1"/>
      <c r="G60" s="20"/>
    </row>
    <row r="61" spans="1:11">
      <c r="A61" s="16">
        <v>41609</v>
      </c>
      <c r="B61">
        <v>55.607608999999997</v>
      </c>
      <c r="C61" s="1">
        <f t="shared" si="0"/>
        <v>-1.7352852821013065E-2</v>
      </c>
      <c r="D61" s="29"/>
      <c r="E61" s="1"/>
      <c r="F61" s="1"/>
      <c r="G61" s="20"/>
    </row>
    <row r="62" spans="1:11">
      <c r="A62" s="16">
        <v>41640</v>
      </c>
      <c r="B62">
        <v>56.794047999999997</v>
      </c>
      <c r="C62" s="1">
        <f t="shared" si="0"/>
        <v>2.1335911062099422E-2</v>
      </c>
      <c r="D62" s="29"/>
      <c r="E62" s="1"/>
      <c r="F62" s="1"/>
      <c r="G62" s="1">
        <v>-0.01</v>
      </c>
      <c r="J62" t="s">
        <v>60</v>
      </c>
    </row>
    <row r="63" spans="1:11">
      <c r="A63" s="16">
        <v>41671</v>
      </c>
      <c r="B63">
        <v>56.892131999999997</v>
      </c>
      <c r="C63" s="1">
        <f t="shared" si="0"/>
        <v>1.7270119573093989E-3</v>
      </c>
      <c r="D63" s="28"/>
      <c r="E63" s="1"/>
      <c r="F63" s="1"/>
      <c r="G63" s="20"/>
      <c r="J63" t="s">
        <v>61</v>
      </c>
    </row>
    <row r="64" spans="1:11">
      <c r="A64" s="16">
        <v>41699</v>
      </c>
      <c r="B64">
        <v>56.498626999999999</v>
      </c>
      <c r="C64" s="1">
        <f t="shared" si="0"/>
        <v>-6.9166857729993092E-3</v>
      </c>
      <c r="D64" s="29"/>
      <c r="E64" s="1"/>
      <c r="F64" s="1"/>
      <c r="G64" s="20"/>
      <c r="J64" t="s">
        <v>62</v>
      </c>
    </row>
    <row r="65" spans="1:7">
      <c r="A65" s="16">
        <v>41730</v>
      </c>
      <c r="B65">
        <v>56.829585999999999</v>
      </c>
      <c r="C65" s="1">
        <f t="shared" si="0"/>
        <v>5.8578237662305632E-3</v>
      </c>
      <c r="D65" s="29"/>
      <c r="E65" s="1"/>
      <c r="F65" s="1"/>
      <c r="G65" s="1">
        <v>5.0999999999999997E-2</v>
      </c>
    </row>
    <row r="66" spans="1:7">
      <c r="A66" s="16">
        <v>41760</v>
      </c>
      <c r="B66">
        <v>57.410491999999998</v>
      </c>
      <c r="C66" s="1">
        <f t="shared" si="0"/>
        <v>1.0221893926871006E-2</v>
      </c>
      <c r="D66" s="28"/>
      <c r="E66" s="1"/>
      <c r="F66" s="1"/>
      <c r="G66" s="20"/>
    </row>
    <row r="67" spans="1:7">
      <c r="A67" s="16">
        <v>41791</v>
      </c>
      <c r="B67">
        <v>57.331440000000001</v>
      </c>
      <c r="C67" s="1">
        <f t="shared" si="0"/>
        <v>-1.3769608523821475E-3</v>
      </c>
      <c r="D67" s="28"/>
      <c r="E67" s="1"/>
      <c r="F67" s="1"/>
      <c r="G67" s="20"/>
    </row>
    <row r="68" spans="1:7">
      <c r="A68" s="16">
        <v>41821</v>
      </c>
      <c r="B68">
        <v>57.045119999999997</v>
      </c>
      <c r="C68" s="1">
        <f t="shared" si="0"/>
        <v>-4.994118410421966E-3</v>
      </c>
      <c r="D68" s="29"/>
      <c r="E68" s="1"/>
      <c r="F68" s="1"/>
      <c r="G68" s="1">
        <v>4.9000000000000002E-2</v>
      </c>
    </row>
    <row r="69" spans="1:7">
      <c r="A69" s="16">
        <v>41852</v>
      </c>
      <c r="B69">
        <v>57.695774</v>
      </c>
      <c r="C69" s="1">
        <f t="shared" si="0"/>
        <v>1.140595374328246E-2</v>
      </c>
      <c r="D69" s="29"/>
      <c r="E69" s="1"/>
      <c r="F69" s="1"/>
      <c r="G69" s="20"/>
    </row>
    <row r="70" spans="1:7">
      <c r="A70" s="16">
        <v>41883</v>
      </c>
      <c r="B70">
        <v>57.329628</v>
      </c>
      <c r="C70" s="1">
        <f t="shared" si="0"/>
        <v>-6.3461493730893048E-3</v>
      </c>
      <c r="D70" s="29"/>
      <c r="E70" s="1"/>
      <c r="F70" s="1"/>
      <c r="G70" s="20"/>
    </row>
    <row r="71" spans="1:7">
      <c r="A71" s="16">
        <v>41913</v>
      </c>
      <c r="B71">
        <v>57.940468000000003</v>
      </c>
      <c r="C71" s="1">
        <f t="shared" si="0"/>
        <v>1.065487464875936E-2</v>
      </c>
      <c r="D71" s="28"/>
      <c r="E71" s="1"/>
      <c r="F71" s="1"/>
      <c r="G71" s="1">
        <v>1.9E-2</v>
      </c>
    </row>
    <row r="72" spans="1:7">
      <c r="A72" s="16">
        <v>41944</v>
      </c>
      <c r="B72">
        <v>58.359485999999997</v>
      </c>
      <c r="C72" s="1">
        <f t="shared" si="0"/>
        <v>7.2318711681789161E-3</v>
      </c>
      <c r="D72" s="28"/>
      <c r="E72" s="1"/>
      <c r="F72" s="1"/>
      <c r="G72" s="20"/>
    </row>
    <row r="73" spans="1:7">
      <c r="A73" s="16">
        <v>41974</v>
      </c>
      <c r="B73">
        <v>58.220019999999998</v>
      </c>
      <c r="C73" s="1">
        <f t="shared" si="0"/>
        <v>-2.3897743033582941E-3</v>
      </c>
      <c r="D73" s="28"/>
      <c r="E73" s="1"/>
      <c r="F73" s="1"/>
      <c r="G73" s="20"/>
    </row>
    <row r="74" spans="1:7">
      <c r="A74" s="16">
        <v>42005</v>
      </c>
      <c r="B74">
        <v>59.840384999999998</v>
      </c>
      <c r="C74" s="1">
        <f t="shared" si="0"/>
        <v>2.783174928486809E-2</v>
      </c>
      <c r="D74" s="28"/>
      <c r="E74" s="1"/>
      <c r="F74" s="1"/>
      <c r="G74" s="1">
        <v>3.3000000000000002E-2</v>
      </c>
    </row>
    <row r="75" spans="1:7">
      <c r="A75" s="16">
        <v>42036</v>
      </c>
      <c r="B75">
        <v>58.853454999999997</v>
      </c>
      <c r="C75" s="1">
        <f t="shared" si="0"/>
        <v>-1.6492708059949845E-2</v>
      </c>
      <c r="D75" s="28"/>
      <c r="E75" s="1"/>
      <c r="F75" s="1"/>
      <c r="G75" s="20"/>
    </row>
    <row r="76" spans="1:7">
      <c r="A76" s="16">
        <v>42064</v>
      </c>
      <c r="B76">
        <v>59.310012999999998</v>
      </c>
      <c r="C76" s="1">
        <f t="shared" si="0"/>
        <v>7.757539468158603E-3</v>
      </c>
      <c r="D76" s="28"/>
      <c r="E76" s="1"/>
      <c r="F76" s="1"/>
      <c r="G76" s="20"/>
    </row>
    <row r="77" spans="1:7">
      <c r="A77" s="16">
        <v>42095</v>
      </c>
      <c r="B77">
        <v>59.227939999999997</v>
      </c>
      <c r="C77" s="1">
        <f t="shared" si="0"/>
        <v>-1.383796695509143E-3</v>
      </c>
      <c r="D77" s="28"/>
      <c r="E77" s="1"/>
      <c r="F77" s="1"/>
      <c r="G77" s="1">
        <v>3.3000000000000002E-2</v>
      </c>
    </row>
    <row r="78" spans="1:7">
      <c r="A78" s="16">
        <v>42125</v>
      </c>
      <c r="B78">
        <v>59.175002999999997</v>
      </c>
      <c r="C78" s="1">
        <f t="shared" si="0"/>
        <v>-8.9378425114905458E-4</v>
      </c>
      <c r="D78" s="28"/>
      <c r="E78" s="1"/>
      <c r="F78" s="1"/>
      <c r="G78" s="20"/>
    </row>
    <row r="79" spans="1:7">
      <c r="A79" s="16">
        <v>42156</v>
      </c>
      <c r="B79">
        <v>58.688797000000001</v>
      </c>
      <c r="C79" s="1">
        <f t="shared" ref="C79:C138" si="1">(B79/B78)-1</f>
        <v>-8.2164085399369924E-3</v>
      </c>
      <c r="D79" s="29"/>
      <c r="E79" s="1"/>
      <c r="F79" s="1"/>
      <c r="G79" s="20"/>
    </row>
    <row r="80" spans="1:7">
      <c r="A80" s="16">
        <v>42186</v>
      </c>
      <c r="B80">
        <v>59.203896</v>
      </c>
      <c r="C80" s="1">
        <f t="shared" si="1"/>
        <v>8.7767857978073849E-3</v>
      </c>
      <c r="D80" s="28"/>
      <c r="E80" s="1"/>
      <c r="F80" s="1"/>
      <c r="G80" s="1">
        <v>0.01</v>
      </c>
    </row>
    <row r="81" spans="1:7">
      <c r="A81" s="16">
        <v>42217</v>
      </c>
      <c r="B81">
        <v>59.296703000000001</v>
      </c>
      <c r="C81" s="1">
        <f t="shared" si="1"/>
        <v>1.5675826469259135E-3</v>
      </c>
      <c r="D81" s="28"/>
      <c r="E81" s="1"/>
      <c r="F81" s="1"/>
      <c r="G81" s="20"/>
    </row>
    <row r="82" spans="1:7">
      <c r="A82" s="16">
        <v>42248</v>
      </c>
      <c r="B82">
        <v>59.877926000000002</v>
      </c>
      <c r="C82" s="1">
        <f t="shared" si="1"/>
        <v>9.8019446376302888E-3</v>
      </c>
      <c r="D82" s="29"/>
      <c r="E82" s="1"/>
      <c r="F82" s="1"/>
      <c r="G82" s="20"/>
    </row>
    <row r="83" spans="1:7">
      <c r="A83" s="16">
        <v>42278</v>
      </c>
      <c r="B83">
        <v>59.526474</v>
      </c>
      <c r="C83" s="1">
        <f t="shared" si="1"/>
        <v>-5.8694751718688654E-3</v>
      </c>
      <c r="D83" s="29"/>
      <c r="E83" s="1"/>
      <c r="F83" s="1"/>
      <c r="G83" s="1">
        <v>4.0000000000000001E-3</v>
      </c>
    </row>
    <row r="84" spans="1:7">
      <c r="A84" s="16">
        <v>42309</v>
      </c>
      <c r="B84">
        <v>59.261944</v>
      </c>
      <c r="C84" s="1">
        <f t="shared" si="1"/>
        <v>-4.443905076588317E-3</v>
      </c>
      <c r="D84" s="28"/>
      <c r="E84" s="1"/>
      <c r="F84" s="1"/>
      <c r="G84" s="20"/>
    </row>
    <row r="85" spans="1:7">
      <c r="A85" s="16">
        <v>42339</v>
      </c>
      <c r="B85">
        <v>59.051189000000001</v>
      </c>
      <c r="C85" s="1">
        <f t="shared" si="1"/>
        <v>-3.5563295054917843E-3</v>
      </c>
      <c r="D85" s="29"/>
      <c r="E85" s="1"/>
      <c r="F85" s="1"/>
      <c r="G85" s="20"/>
    </row>
    <row r="86" spans="1:7">
      <c r="A86" s="16">
        <v>42370</v>
      </c>
      <c r="B86">
        <v>60.525433</v>
      </c>
      <c r="C86" s="1">
        <f t="shared" si="1"/>
        <v>2.4965526096349944E-2</v>
      </c>
      <c r="D86" s="28"/>
      <c r="E86" s="1"/>
      <c r="F86" s="1"/>
      <c r="G86" s="1">
        <v>1.4999999999999999E-2</v>
      </c>
    </row>
    <row r="87" spans="1:7">
      <c r="A87" s="16">
        <v>42401</v>
      </c>
      <c r="B87">
        <v>60.911617</v>
      </c>
      <c r="C87" s="1">
        <f t="shared" si="1"/>
        <v>6.3805243656827049E-3</v>
      </c>
      <c r="D87" s="28"/>
      <c r="E87" s="1"/>
      <c r="F87" s="1"/>
      <c r="G87" s="20"/>
    </row>
    <row r="88" spans="1:7">
      <c r="A88" s="16">
        <v>42430</v>
      </c>
      <c r="B88">
        <v>61.036369000000001</v>
      </c>
      <c r="C88" s="1">
        <f t="shared" si="1"/>
        <v>2.0480822237898266E-3</v>
      </c>
      <c r="D88" s="28"/>
      <c r="E88" s="1"/>
      <c r="F88" s="1"/>
      <c r="G88" s="20"/>
    </row>
    <row r="89" spans="1:7">
      <c r="A89" s="16">
        <v>42461</v>
      </c>
      <c r="B89">
        <v>60.942428999999997</v>
      </c>
      <c r="C89" s="1">
        <f t="shared" si="1"/>
        <v>-1.5390823789011021E-3</v>
      </c>
      <c r="D89" s="28"/>
      <c r="E89" s="1"/>
      <c r="F89" s="1"/>
      <c r="G89" s="1">
        <v>2.3E-2</v>
      </c>
    </row>
    <row r="90" spans="1:7">
      <c r="A90" s="16">
        <v>42491</v>
      </c>
      <c r="B90">
        <v>60.829619999999998</v>
      </c>
      <c r="C90" s="1">
        <f t="shared" si="1"/>
        <v>-1.8510748890563367E-3</v>
      </c>
      <c r="D90" s="29"/>
      <c r="E90" s="1"/>
      <c r="F90" s="1"/>
      <c r="G90" s="20"/>
    </row>
    <row r="91" spans="1:7">
      <c r="A91" s="16">
        <v>42522</v>
      </c>
      <c r="B91">
        <v>62.091717000000003</v>
      </c>
      <c r="C91" s="1">
        <f t="shared" si="1"/>
        <v>2.0748066484715944E-2</v>
      </c>
      <c r="D91" s="28"/>
      <c r="E91" s="1"/>
      <c r="F91" s="1"/>
      <c r="G91" s="20"/>
    </row>
    <row r="92" spans="1:7">
      <c r="A92" s="16">
        <v>42552</v>
      </c>
      <c r="B92">
        <v>62.124695000000003</v>
      </c>
      <c r="C92" s="1">
        <f t="shared" si="1"/>
        <v>5.3111754020274127E-4</v>
      </c>
      <c r="D92" s="29"/>
      <c r="E92" s="1"/>
      <c r="F92" s="1"/>
      <c r="G92" s="1">
        <v>1.9E-2</v>
      </c>
    </row>
    <row r="93" spans="1:7">
      <c r="A93" s="16">
        <v>42583</v>
      </c>
      <c r="B93">
        <v>61.674385000000001</v>
      </c>
      <c r="C93" s="1">
        <f t="shared" si="1"/>
        <v>-7.2484862903552383E-3</v>
      </c>
      <c r="D93" s="28"/>
      <c r="E93" s="1"/>
      <c r="F93" s="1"/>
      <c r="G93" s="20"/>
    </row>
    <row r="94" spans="1:7">
      <c r="A94" s="16">
        <v>42614</v>
      </c>
      <c r="B94">
        <v>61.946457000000002</v>
      </c>
      <c r="C94" s="1">
        <f t="shared" si="1"/>
        <v>4.4114262347325628E-3</v>
      </c>
      <c r="D94" s="28"/>
      <c r="E94" s="1"/>
      <c r="F94" s="1"/>
      <c r="G94" s="20"/>
    </row>
    <row r="95" spans="1:7">
      <c r="A95" s="16">
        <v>42644</v>
      </c>
      <c r="B95">
        <v>61.372706999999998</v>
      </c>
      <c r="C95" s="1">
        <f t="shared" si="1"/>
        <v>-9.2620309180879712E-3</v>
      </c>
      <c r="D95" s="28"/>
      <c r="E95" s="1"/>
      <c r="F95" s="1"/>
      <c r="G95" s="1">
        <v>1.8000000000000002E-2</v>
      </c>
    </row>
    <row r="96" spans="1:7">
      <c r="A96" s="16">
        <v>42675</v>
      </c>
      <c r="B96">
        <v>59.795605000000002</v>
      </c>
      <c r="C96" s="1">
        <f t="shared" si="1"/>
        <v>-2.5697122989865817E-2</v>
      </c>
      <c r="D96" s="29"/>
      <c r="E96" s="1"/>
      <c r="F96" s="1"/>
      <c r="G96" s="20"/>
    </row>
    <row r="97" spans="1:7">
      <c r="A97" s="16">
        <v>42705</v>
      </c>
      <c r="B97">
        <v>59.513378000000003</v>
      </c>
      <c r="C97" s="1">
        <f t="shared" si="1"/>
        <v>-4.7198619363413297E-3</v>
      </c>
      <c r="D97" s="29"/>
      <c r="E97" s="1"/>
      <c r="F97" s="1"/>
      <c r="G97" s="20"/>
    </row>
    <row r="98" spans="1:7">
      <c r="A98" s="16">
        <v>42736</v>
      </c>
      <c r="B98">
        <v>59.967334999999999</v>
      </c>
      <c r="C98" s="1">
        <f t="shared" si="1"/>
        <v>7.6278143714174629E-3</v>
      </c>
      <c r="D98" s="29"/>
      <c r="E98" s="1"/>
      <c r="F98" s="1"/>
      <c r="G98" s="1">
        <v>1.8000000000000002E-2</v>
      </c>
    </row>
    <row r="99" spans="1:7">
      <c r="A99" s="16">
        <v>42767</v>
      </c>
      <c r="B99">
        <v>60.163643</v>
      </c>
      <c r="C99" s="1">
        <f t="shared" si="1"/>
        <v>3.2735821927054598E-3</v>
      </c>
      <c r="D99" s="29"/>
      <c r="E99" s="1"/>
      <c r="F99" s="1"/>
      <c r="G99" s="20"/>
    </row>
    <row r="100" spans="1:7">
      <c r="A100" s="16">
        <v>42795</v>
      </c>
      <c r="B100">
        <v>60.184441</v>
      </c>
      <c r="C100" s="1">
        <f t="shared" si="1"/>
        <v>3.4569050281740843E-4</v>
      </c>
      <c r="D100" s="28"/>
      <c r="E100" s="1"/>
      <c r="F100" s="1"/>
      <c r="G100" s="20"/>
    </row>
    <row r="101" spans="1:7">
      <c r="A101" s="16">
        <v>42826</v>
      </c>
      <c r="B101">
        <v>60.668869000000001</v>
      </c>
      <c r="C101" s="1">
        <f t="shared" si="1"/>
        <v>8.0490570644329296E-3</v>
      </c>
      <c r="D101" s="29"/>
      <c r="E101" s="1"/>
      <c r="F101" s="1"/>
      <c r="G101" s="1">
        <v>0.03</v>
      </c>
    </row>
    <row r="102" spans="1:7">
      <c r="A102" s="16">
        <v>42856</v>
      </c>
      <c r="B102">
        <v>61.025925000000001</v>
      </c>
      <c r="C102" s="1">
        <f t="shared" si="1"/>
        <v>5.8853248113130974E-3</v>
      </c>
      <c r="D102" s="29"/>
      <c r="E102" s="1"/>
      <c r="F102" s="1"/>
      <c r="G102" s="20"/>
    </row>
    <row r="103" spans="1:7">
      <c r="A103" s="16">
        <v>42887</v>
      </c>
      <c r="B103">
        <v>60.743487999999999</v>
      </c>
      <c r="C103" s="1">
        <f t="shared" si="1"/>
        <v>-4.6281477912870628E-3</v>
      </c>
      <c r="D103" s="28"/>
      <c r="E103" s="1"/>
      <c r="F103" s="1"/>
      <c r="G103" s="20"/>
    </row>
    <row r="104" spans="1:7">
      <c r="A104" s="16">
        <v>42917</v>
      </c>
      <c r="B104">
        <v>60.993274999999997</v>
      </c>
      <c r="C104" s="1">
        <f t="shared" si="1"/>
        <v>4.1121609611880494E-3</v>
      </c>
      <c r="D104" s="29"/>
      <c r="E104" s="1"/>
      <c r="F104" s="1"/>
      <c r="G104" s="1">
        <v>2.7999999999999997E-2</v>
      </c>
    </row>
    <row r="105" spans="1:7">
      <c r="A105" s="16">
        <v>42948</v>
      </c>
      <c r="B105">
        <v>61.549377</v>
      </c>
      <c r="C105" s="1">
        <f t="shared" si="1"/>
        <v>9.1174313889523795E-3</v>
      </c>
      <c r="D105" s="28"/>
      <c r="E105" s="1"/>
      <c r="F105" s="1"/>
      <c r="G105" s="20"/>
    </row>
    <row r="106" spans="1:7">
      <c r="A106" s="16">
        <v>42979</v>
      </c>
      <c r="B106">
        <v>60.999046</v>
      </c>
      <c r="C106" s="1">
        <f t="shared" si="1"/>
        <v>-8.9412927770170514E-3</v>
      </c>
      <c r="D106" s="29"/>
      <c r="E106" s="1"/>
      <c r="F106" s="1"/>
      <c r="G106" s="20"/>
    </row>
    <row r="107" spans="1:7">
      <c r="A107" s="16">
        <v>43009</v>
      </c>
      <c r="B107">
        <v>60.875377999999998</v>
      </c>
      <c r="C107" s="1">
        <f t="shared" si="1"/>
        <v>-2.0273759691258331E-3</v>
      </c>
      <c r="D107" s="29"/>
      <c r="E107" s="1"/>
      <c r="F107" s="1"/>
      <c r="G107" s="1">
        <v>2.3E-2</v>
      </c>
    </row>
    <row r="108" spans="1:7">
      <c r="A108" s="16">
        <v>43040</v>
      </c>
      <c r="B108">
        <v>60.666919999999998</v>
      </c>
      <c r="C108" s="1">
        <f t="shared" si="1"/>
        <v>-3.4243401330501522E-3</v>
      </c>
      <c r="D108" s="28"/>
      <c r="E108" s="1"/>
      <c r="F108" s="1"/>
      <c r="G108" s="20"/>
    </row>
    <row r="109" spans="1:7">
      <c r="A109" s="16">
        <v>43070</v>
      </c>
      <c r="B109">
        <v>60.581203000000002</v>
      </c>
      <c r="C109" s="1">
        <f t="shared" si="1"/>
        <v>-1.4129116823466958E-3</v>
      </c>
      <c r="D109" s="29"/>
      <c r="E109" s="1"/>
      <c r="F109" s="1"/>
      <c r="G109" s="20"/>
    </row>
    <row r="110" spans="1:7">
      <c r="A110" s="16">
        <v>43101</v>
      </c>
      <c r="B110">
        <v>59.887172999999997</v>
      </c>
      <c r="C110" s="1">
        <f t="shared" si="1"/>
        <v>-1.1456193763600298E-2</v>
      </c>
      <c r="D110" s="29"/>
      <c r="E110" s="1"/>
      <c r="F110" s="1"/>
      <c r="G110" s="1">
        <v>2.2000000000000002E-2</v>
      </c>
    </row>
    <row r="111" spans="1:7">
      <c r="A111" s="16">
        <v>43132</v>
      </c>
      <c r="B111">
        <v>59.526004999999998</v>
      </c>
      <c r="C111" s="1">
        <f t="shared" si="1"/>
        <v>-6.0308072982506733E-3</v>
      </c>
      <c r="D111" s="28"/>
      <c r="E111" s="1"/>
      <c r="F111" s="1"/>
      <c r="G111" s="20"/>
    </row>
    <row r="112" spans="1:7">
      <c r="A112" s="16">
        <v>43160</v>
      </c>
      <c r="B112">
        <v>59.944282999999999</v>
      </c>
      <c r="C112" s="1">
        <f t="shared" si="1"/>
        <v>7.0268112230948976E-3</v>
      </c>
      <c r="D112" s="29"/>
      <c r="E112" s="1"/>
      <c r="F112" s="1"/>
      <c r="G112" s="20"/>
    </row>
    <row r="113" spans="1:7">
      <c r="A113" s="16">
        <v>43191</v>
      </c>
      <c r="B113">
        <v>59.402408999999999</v>
      </c>
      <c r="C113" s="1">
        <f t="shared" si="1"/>
        <v>-9.0396276822595212E-3</v>
      </c>
      <c r="D113" s="29"/>
      <c r="E113" s="1"/>
      <c r="F113" s="1"/>
      <c r="G113" s="1">
        <v>4.2000000000000003E-2</v>
      </c>
    </row>
    <row r="114" spans="1:7">
      <c r="A114" s="16">
        <v>43221</v>
      </c>
      <c r="B114">
        <v>59.873016</v>
      </c>
      <c r="C114" s="1">
        <f t="shared" si="1"/>
        <v>7.9223554721492562E-3</v>
      </c>
      <c r="D114" s="29"/>
      <c r="E114" s="1"/>
      <c r="F114" s="1"/>
      <c r="G114" s="20"/>
    </row>
    <row r="115" spans="1:7">
      <c r="A115" s="16">
        <v>43252</v>
      </c>
      <c r="B115">
        <v>59.912823000000003</v>
      </c>
      <c r="C115" s="1">
        <f t="shared" si="1"/>
        <v>6.6485710357411243E-4</v>
      </c>
      <c r="D115" s="29"/>
      <c r="E115" s="1"/>
      <c r="F115" s="1"/>
      <c r="G115" s="20"/>
    </row>
    <row r="116" spans="1:7">
      <c r="A116" s="16">
        <v>43282</v>
      </c>
      <c r="B116">
        <v>59.724986999999999</v>
      </c>
      <c r="C116" s="1">
        <f t="shared" si="1"/>
        <v>-3.1351552237824931E-3</v>
      </c>
      <c r="D116" s="28"/>
      <c r="E116" s="1"/>
      <c r="F116" s="1"/>
      <c r="G116" s="1">
        <v>3.4000000000000002E-2</v>
      </c>
    </row>
    <row r="117" spans="1:7">
      <c r="A117" s="16">
        <v>43313</v>
      </c>
      <c r="B117">
        <v>60.137081000000002</v>
      </c>
      <c r="C117" s="1">
        <f t="shared" si="1"/>
        <v>6.8998591828910438E-3</v>
      </c>
      <c r="D117" s="28"/>
      <c r="E117" s="1"/>
      <c r="F117" s="1"/>
      <c r="G117" s="20"/>
    </row>
    <row r="118" spans="1:7">
      <c r="A118" s="16">
        <v>43344</v>
      </c>
      <c r="B118">
        <v>59.676307999999999</v>
      </c>
      <c r="C118" s="1">
        <f t="shared" si="1"/>
        <v>-7.6620446542792209E-3</v>
      </c>
      <c r="D118" s="29"/>
      <c r="E118" s="1"/>
      <c r="F118" s="1"/>
      <c r="G118" s="20"/>
    </row>
    <row r="119" spans="1:7">
      <c r="A119" s="16">
        <v>43374</v>
      </c>
      <c r="B119">
        <v>59.653103000000002</v>
      </c>
      <c r="C119" s="1">
        <f t="shared" si="1"/>
        <v>-3.8884778193715164E-4</v>
      </c>
      <c r="D119" s="29"/>
      <c r="E119" s="1"/>
      <c r="F119" s="1"/>
      <c r="G119" s="1">
        <v>2.2000000000000002E-2</v>
      </c>
    </row>
    <row r="120" spans="1:7">
      <c r="A120" s="16">
        <v>43405</v>
      </c>
      <c r="B120">
        <v>60.229762999999998</v>
      </c>
      <c r="C120" s="1">
        <f t="shared" si="1"/>
        <v>9.6668902538061818E-3</v>
      </c>
      <c r="D120" s="28"/>
      <c r="E120" s="1"/>
      <c r="F120" s="1"/>
      <c r="G120" s="20"/>
    </row>
    <row r="121" spans="1:7">
      <c r="A121" s="16">
        <v>43435</v>
      </c>
      <c r="B121">
        <v>61.353943000000001</v>
      </c>
      <c r="C121" s="1">
        <f t="shared" si="1"/>
        <v>1.8664858435521348E-2</v>
      </c>
      <c r="D121" s="29"/>
      <c r="E121" s="1"/>
      <c r="F121" s="1"/>
      <c r="G121" s="20"/>
    </row>
    <row r="122" spans="1:7">
      <c r="A122" s="16">
        <v>43466</v>
      </c>
      <c r="B122">
        <v>61.865898000000001</v>
      </c>
      <c r="C122" s="1">
        <f t="shared" si="1"/>
        <v>8.3442884836268938E-3</v>
      </c>
      <c r="D122" s="28"/>
      <c r="E122" s="1"/>
      <c r="F122" s="1"/>
      <c r="G122" s="1">
        <v>3.1E-2</v>
      </c>
    </row>
    <row r="123" spans="1:7">
      <c r="A123" s="16">
        <v>43497</v>
      </c>
      <c r="B123">
        <v>61.594177000000002</v>
      </c>
      <c r="C123" s="1">
        <f t="shared" si="1"/>
        <v>-4.3920965957691127E-3</v>
      </c>
      <c r="D123" s="29"/>
      <c r="E123" s="1"/>
      <c r="F123" s="1"/>
      <c r="G123" s="20"/>
    </row>
    <row r="124" spans="1:7">
      <c r="A124" s="16">
        <v>43525</v>
      </c>
      <c r="B124">
        <v>62.696292999999997</v>
      </c>
      <c r="C124" s="1">
        <f t="shared" si="1"/>
        <v>1.7893184935322548E-2</v>
      </c>
      <c r="D124" s="29"/>
      <c r="E124" s="1"/>
      <c r="F124" s="1"/>
      <c r="G124" s="20"/>
    </row>
    <row r="125" spans="1:7">
      <c r="A125" s="16">
        <v>43556</v>
      </c>
      <c r="B125">
        <v>62.609462999999998</v>
      </c>
      <c r="C125" s="1">
        <f t="shared" si="1"/>
        <v>-1.3849303658192147E-3</v>
      </c>
      <c r="D125" s="28"/>
      <c r="E125" s="1"/>
      <c r="F125" s="1"/>
      <c r="G125" s="1">
        <v>0.02</v>
      </c>
    </row>
    <row r="126" spans="1:7">
      <c r="A126" s="16">
        <v>43586</v>
      </c>
      <c r="B126">
        <v>63.915089000000002</v>
      </c>
      <c r="C126" s="1">
        <f t="shared" si="1"/>
        <v>2.0853493025487335E-2</v>
      </c>
      <c r="D126" s="28"/>
      <c r="E126" s="1"/>
      <c r="F126" s="1"/>
      <c r="G126" s="20"/>
    </row>
    <row r="127" spans="1:7">
      <c r="A127" s="16">
        <v>43617</v>
      </c>
      <c r="B127">
        <v>64.517859999999999</v>
      </c>
      <c r="C127" s="1">
        <f t="shared" si="1"/>
        <v>9.4308090535553113E-3</v>
      </c>
      <c r="D127" s="28"/>
      <c r="E127" s="1"/>
      <c r="F127" s="1"/>
      <c r="G127" s="20"/>
    </row>
    <row r="128" spans="1:7">
      <c r="A128" s="16">
        <v>43647</v>
      </c>
      <c r="B128">
        <v>64.460999000000001</v>
      </c>
      <c r="C128" s="1">
        <f t="shared" si="1"/>
        <v>-8.8132185413458686E-4</v>
      </c>
      <c r="D128" s="28"/>
      <c r="E128" s="1"/>
      <c r="F128" s="1"/>
      <c r="G128" s="1">
        <v>2.1000000000000001E-2</v>
      </c>
    </row>
    <row r="129" spans="1:7">
      <c r="A129" s="16">
        <v>43678</v>
      </c>
      <c r="B129">
        <v>66.066909999999993</v>
      </c>
      <c r="C129" s="1">
        <f t="shared" si="1"/>
        <v>2.4912908966862046E-2</v>
      </c>
      <c r="D129" s="28"/>
      <c r="E129" s="1"/>
      <c r="F129" s="1"/>
      <c r="G129" s="20"/>
    </row>
    <row r="130" spans="1:7">
      <c r="A130" s="16">
        <v>43709</v>
      </c>
      <c r="B130">
        <v>65.581795</v>
      </c>
      <c r="C130" s="1">
        <f t="shared" si="1"/>
        <v>-7.3427832480736921E-3</v>
      </c>
      <c r="D130" s="28"/>
      <c r="E130" s="1"/>
      <c r="F130" s="1"/>
      <c r="G130" s="20"/>
    </row>
    <row r="131" spans="1:7">
      <c r="A131" s="16">
        <v>43739</v>
      </c>
      <c r="B131">
        <v>65.769897</v>
      </c>
      <c r="C131" s="1">
        <f t="shared" si="1"/>
        <v>2.8682045070587137E-3</v>
      </c>
      <c r="D131" s="28"/>
      <c r="E131" s="1"/>
      <c r="F131" s="1"/>
      <c r="G131" s="1">
        <v>2.1000000000000001E-2</v>
      </c>
    </row>
    <row r="132" spans="1:7">
      <c r="A132" s="16">
        <v>43770</v>
      </c>
      <c r="B132">
        <v>65.501510999999994</v>
      </c>
      <c r="C132" s="1">
        <f t="shared" si="1"/>
        <v>-4.0806814704302807E-3</v>
      </c>
      <c r="D132" s="28"/>
      <c r="E132" s="1"/>
      <c r="F132" s="1"/>
      <c r="G132" s="20"/>
    </row>
    <row r="133" spans="1:7">
      <c r="A133" s="16">
        <v>43800</v>
      </c>
      <c r="B133">
        <v>65.175415000000001</v>
      </c>
      <c r="C133" s="1">
        <f t="shared" si="1"/>
        <v>-4.978450039114235E-3</v>
      </c>
      <c r="D133" s="29"/>
      <c r="E133" s="1"/>
      <c r="F133" s="1"/>
      <c r="G133" s="1"/>
    </row>
    <row r="134" spans="1:7">
      <c r="A134" s="16">
        <v>43831</v>
      </c>
      <c r="B134">
        <v>66.857742000000002</v>
      </c>
      <c r="C134" s="1">
        <f t="shared" si="1"/>
        <v>2.5812294405797021E-2</v>
      </c>
      <c r="D134" s="28"/>
      <c r="E134" s="1"/>
      <c r="F134" s="1"/>
      <c r="G134" s="1">
        <v>-4.8000000000000001E-2</v>
      </c>
    </row>
    <row r="135" spans="1:7">
      <c r="A135" s="16">
        <v>43862</v>
      </c>
      <c r="B135">
        <v>68.128212000000005</v>
      </c>
      <c r="C135" s="1">
        <f t="shared" si="1"/>
        <v>1.9002586117849996E-2</v>
      </c>
      <c r="D135" s="28"/>
      <c r="E135" s="1"/>
      <c r="F135" s="1"/>
      <c r="G135" s="1"/>
    </row>
    <row r="136" spans="1:7">
      <c r="A136" s="16">
        <v>43891</v>
      </c>
      <c r="B136">
        <v>70.144760000000005</v>
      </c>
      <c r="C136" s="1">
        <f t="shared" si="1"/>
        <v>2.95993090204687E-2</v>
      </c>
      <c r="D136" s="28"/>
      <c r="E136" s="1"/>
      <c r="F136" s="1"/>
      <c r="G136" s="1"/>
    </row>
    <row r="137" spans="1:7">
      <c r="A137" s="16">
        <v>43922</v>
      </c>
      <c r="B137">
        <v>70.135811000000004</v>
      </c>
      <c r="C137" s="1">
        <f t="shared" si="1"/>
        <v>-1.275790237218466E-4</v>
      </c>
      <c r="D137" s="28"/>
      <c r="E137" s="1"/>
      <c r="F137" s="1"/>
      <c r="G137" s="1"/>
    </row>
    <row r="138" spans="1:7">
      <c r="A138" s="16">
        <v>43952</v>
      </c>
      <c r="B138">
        <v>70.401900999999995</v>
      </c>
      <c r="C138" s="1">
        <f t="shared" si="1"/>
        <v>3.7939249037839406E-3</v>
      </c>
      <c r="D138" s="28"/>
      <c r="E138" s="1"/>
      <c r="F138" s="1"/>
      <c r="G138" s="1"/>
    </row>
  </sheetData>
  <conditionalFormatting sqref="C1:C8">
    <cfRule type="cellIs" dxfId="73" priority="19" operator="lessThan">
      <formula>0</formula>
    </cfRule>
    <cfRule type="cellIs" dxfId="72" priority="20" operator="greaterThan">
      <formula>0</formula>
    </cfRule>
  </conditionalFormatting>
  <conditionalFormatting sqref="E1:F8">
    <cfRule type="cellIs" dxfId="71" priority="17" operator="lessThan">
      <formula>0</formula>
    </cfRule>
    <cfRule type="cellIs" dxfId="70" priority="18" operator="greaterThan">
      <formula>0</formula>
    </cfRule>
  </conditionalFormatting>
  <conditionalFormatting sqref="G1:G8">
    <cfRule type="cellIs" dxfId="69" priority="15" operator="lessThan">
      <formula>0</formula>
    </cfRule>
    <cfRule type="cellIs" dxfId="68" priority="16" operator="greaterThan">
      <formula>0</formula>
    </cfRule>
  </conditionalFormatting>
  <conditionalFormatting sqref="C12:C138">
    <cfRule type="cellIs" dxfId="67" priority="13" operator="lessThan">
      <formula>0</formula>
    </cfRule>
    <cfRule type="cellIs" dxfId="66" priority="14" operator="greaterThan">
      <formula>0</formula>
    </cfRule>
  </conditionalFormatting>
  <conditionalFormatting sqref="E12:F138">
    <cfRule type="cellIs" dxfId="65" priority="11" operator="lessThan">
      <formula>0</formula>
    </cfRule>
    <cfRule type="cellIs" dxfId="64" priority="12" operator="greaterThan">
      <formula>0</formula>
    </cfRule>
  </conditionalFormatting>
  <conditionalFormatting sqref="G12:G13">
    <cfRule type="cellIs" dxfId="63" priority="9" operator="lessThan">
      <formula>0</formula>
    </cfRule>
    <cfRule type="cellIs" dxfId="62" priority="10" operator="greaterThan">
      <formula>0</formula>
    </cfRule>
  </conditionalFormatting>
  <conditionalFormatting sqref="G14:G138">
    <cfRule type="cellIs" dxfId="61" priority="7" operator="lessThan">
      <formula>0</formula>
    </cfRule>
    <cfRule type="cellIs" dxfId="60" priority="8" operator="greaterThan">
      <formula>0</formula>
    </cfRule>
  </conditionalFormatting>
  <conditionalFormatting sqref="M44:M47">
    <cfRule type="cellIs" dxfId="59" priority="5" operator="lessThan">
      <formula>0</formula>
    </cfRule>
    <cfRule type="cellIs" dxfId="58" priority="6" operator="greaterThan">
      <formula>0</formula>
    </cfRule>
  </conditionalFormatting>
  <conditionalFormatting sqref="J20:J21">
    <cfRule type="cellIs" dxfId="57" priority="3" operator="lessThan">
      <formula>0</formula>
    </cfRule>
    <cfRule type="cellIs" dxfId="56" priority="4" operator="greaterThan">
      <formula>0</formula>
    </cfRule>
  </conditionalFormatting>
  <conditionalFormatting sqref="K21">
    <cfRule type="cellIs" dxfId="55" priority="1" operator="lessThan">
      <formula>0</formula>
    </cfRule>
    <cfRule type="cellIs" dxfId="54" priority="2"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D69A1-8223-014C-A7AA-14F59B2259BE}">
  <dimension ref="A1:Y209"/>
  <sheetViews>
    <sheetView zoomScale="110" zoomScaleNormal="110" workbookViewId="0">
      <pane ySplit="11" topLeftCell="A12" activePane="bottomLeft" state="frozen"/>
      <selection pane="bottomLeft" activeCell="N33" sqref="N33"/>
    </sheetView>
  </sheetViews>
  <sheetFormatPr baseColWidth="10" defaultRowHeight="16"/>
  <cols>
    <col min="10" max="10" width="31.33203125" bestFit="1" customWidth="1"/>
    <col min="11" max="11" width="16.3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1.9E-3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235</v>
      </c>
      <c r="B3" t="s">
        <v>158</v>
      </c>
      <c r="C3" s="1"/>
      <c r="E3" s="1"/>
      <c r="F3" s="1"/>
      <c r="G3" s="9" t="s">
        <v>13</v>
      </c>
      <c r="H3" s="9">
        <f>SUBTOTAL(1,C13:C241)</f>
        <v>3.5385940508537656E-3</v>
      </c>
      <c r="J3" s="3" t="s">
        <v>14</v>
      </c>
      <c r="K3" s="10">
        <v>1.1741478770134499E-2</v>
      </c>
      <c r="L3" s="3">
        <v>130</v>
      </c>
      <c r="M3" s="9">
        <f>L3/$K$38</f>
        <v>0.65989847715736039</v>
      </c>
      <c r="N3" s="10">
        <f>K3*M3</f>
        <v>7.7481839599872326E-3</v>
      </c>
      <c r="P3" s="4" t="s">
        <v>15</v>
      </c>
      <c r="Q3" s="11">
        <f>$K$26+$K$30</f>
        <v>2.0146425040099319E-2</v>
      </c>
      <c r="R3" s="11">
        <f>$K$26+$K$30*2</f>
        <v>3.6754256029344873E-2</v>
      </c>
      <c r="S3" s="11">
        <f>$K$26+$K$30*3</f>
        <v>5.336208701859043E-2</v>
      </c>
      <c r="T3" s="6"/>
      <c r="U3" s="5">
        <v>1</v>
      </c>
      <c r="V3" s="5">
        <v>153</v>
      </c>
      <c r="W3" s="12">
        <f>Y3*$K$38</f>
        <v>134.35400000000001</v>
      </c>
      <c r="X3" s="13">
        <f>V3/$K$38</f>
        <v>0.7766497461928934</v>
      </c>
      <c r="Y3" s="13">
        <v>0.68200000000000005</v>
      </c>
    </row>
    <row r="4" spans="1:25">
      <c r="A4" t="s">
        <v>131</v>
      </c>
      <c r="C4" s="1"/>
      <c r="E4" s="1"/>
      <c r="F4" s="1"/>
      <c r="G4" s="9" t="s">
        <v>16</v>
      </c>
      <c r="H4" s="14">
        <f>SUBTOTAL(2,C13:C241)</f>
        <v>197</v>
      </c>
      <c r="J4" s="3" t="s">
        <v>17</v>
      </c>
      <c r="K4" s="10">
        <v>-1.2758295570758357E-2</v>
      </c>
      <c r="L4" s="3">
        <v>65</v>
      </c>
      <c r="M4" s="9">
        <f>L4/$K$38</f>
        <v>0.32994923857868019</v>
      </c>
      <c r="N4" s="10">
        <f>K4*M4</f>
        <v>-4.2095899091334679E-3</v>
      </c>
      <c r="P4" s="4" t="s">
        <v>18</v>
      </c>
      <c r="Q4" s="11">
        <f>$K$26-$K$30</f>
        <v>-1.3069236938391789E-2</v>
      </c>
      <c r="R4" s="11">
        <f>$K$26-$K$30*2</f>
        <v>-2.9677067927637343E-2</v>
      </c>
      <c r="S4" s="11">
        <f>$K$26-$K$30*3</f>
        <v>-4.6284898916882901E-2</v>
      </c>
      <c r="T4" s="6"/>
      <c r="U4" s="5">
        <v>2</v>
      </c>
      <c r="V4" s="5">
        <v>187</v>
      </c>
      <c r="W4" s="12">
        <f>Y4*$K$38</f>
        <v>187.93799999999999</v>
      </c>
      <c r="X4" s="13">
        <f>V4/$K$38</f>
        <v>0.949238578680203</v>
      </c>
      <c r="Y4" s="13">
        <v>0.95399999999999996</v>
      </c>
    </row>
    <row r="5" spans="1:25">
      <c r="A5" t="s">
        <v>236</v>
      </c>
      <c r="C5" s="1"/>
      <c r="E5" s="1"/>
      <c r="F5" s="1"/>
      <c r="G5" s="1"/>
      <c r="J5" s="3" t="s">
        <v>19</v>
      </c>
      <c r="K5" s="3"/>
      <c r="L5" s="27">
        <f>K38-L4-$L$3</f>
        <v>2</v>
      </c>
      <c r="M5" s="3"/>
      <c r="N5" s="3"/>
      <c r="P5" s="6"/>
      <c r="Q5" s="6"/>
      <c r="R5" s="6"/>
      <c r="S5" s="6"/>
      <c r="T5" s="6"/>
      <c r="U5" s="5">
        <v>3</v>
      </c>
      <c r="V5" s="5">
        <v>193</v>
      </c>
      <c r="W5" s="12">
        <f>Y5*$K$38</f>
        <v>196.60599999999999</v>
      </c>
      <c r="X5" s="13">
        <f>V5/$K$38</f>
        <v>0.97969543147208127</v>
      </c>
      <c r="Y5" s="13">
        <v>0.998</v>
      </c>
    </row>
    <row r="6" spans="1:25">
      <c r="A6" t="s">
        <v>420</v>
      </c>
      <c r="C6" s="1"/>
      <c r="E6" s="1"/>
      <c r="F6" s="1"/>
      <c r="G6" s="1"/>
    </row>
    <row r="7" spans="1:25">
      <c r="A7" t="s">
        <v>159</v>
      </c>
      <c r="B7" t="s">
        <v>160</v>
      </c>
      <c r="C7" s="1"/>
      <c r="E7" s="1"/>
      <c r="F7" s="1"/>
      <c r="G7" s="1"/>
      <c r="P7" s="6"/>
      <c r="Q7" s="6"/>
      <c r="R7" s="6"/>
      <c r="S7" s="6"/>
      <c r="T7" s="6"/>
      <c r="U7" s="6"/>
      <c r="V7" s="6"/>
      <c r="W7" s="6"/>
      <c r="X7" s="6"/>
      <c r="Y7" s="6"/>
    </row>
    <row r="8" spans="1:25">
      <c r="A8" t="s">
        <v>161</v>
      </c>
      <c r="C8" s="1"/>
      <c r="E8" s="1"/>
      <c r="F8" s="1"/>
      <c r="G8" s="1"/>
      <c r="P8" s="6"/>
      <c r="Q8" s="6"/>
      <c r="R8" s="6"/>
      <c r="S8" s="6"/>
      <c r="T8" s="6"/>
      <c r="U8" s="6"/>
      <c r="V8" s="6"/>
      <c r="W8" s="6"/>
      <c r="X8" s="6"/>
      <c r="Y8" s="6"/>
    </row>
    <row r="9" spans="1:25">
      <c r="A9" t="s">
        <v>237</v>
      </c>
      <c r="C9" s="1"/>
      <c r="E9" s="1"/>
      <c r="F9" s="1"/>
      <c r="G9" s="1"/>
    </row>
    <row r="10" spans="1:25">
      <c r="A10" t="s">
        <v>162</v>
      </c>
      <c r="B10" t="s">
        <v>354</v>
      </c>
      <c r="C10" s="1"/>
      <c r="E10" s="1"/>
      <c r="F10" s="1"/>
      <c r="G10" s="1"/>
    </row>
    <row r="11" spans="1:25">
      <c r="A11" s="15" t="s">
        <v>20</v>
      </c>
      <c r="B11" s="15" t="s">
        <v>21</v>
      </c>
      <c r="C11" s="15" t="s">
        <v>22</v>
      </c>
      <c r="D11" s="15"/>
      <c r="E11" s="15"/>
      <c r="F11" s="15"/>
      <c r="G11" s="15" t="s">
        <v>137</v>
      </c>
    </row>
    <row r="12" spans="1:25">
      <c r="A12" s="16">
        <v>37956</v>
      </c>
      <c r="B12">
        <v>62.244872999999998</v>
      </c>
      <c r="D12" s="29"/>
      <c r="E12" s="1"/>
      <c r="F12" s="1"/>
      <c r="G12" s="2"/>
      <c r="J12" s="3" t="s">
        <v>27</v>
      </c>
      <c r="K12" s="18" t="s">
        <v>28</v>
      </c>
      <c r="L12" s="18" t="s">
        <v>29</v>
      </c>
      <c r="M12" s="18" t="s">
        <v>3</v>
      </c>
    </row>
    <row r="13" spans="1:25">
      <c r="A13" s="16">
        <v>37987</v>
      </c>
      <c r="B13">
        <v>63.076286000000003</v>
      </c>
      <c r="C13" s="1">
        <f>(B13/B12)-1</f>
        <v>1.3357132241237135E-2</v>
      </c>
      <c r="D13" s="29"/>
      <c r="E13" s="1"/>
      <c r="F13" s="1"/>
      <c r="G13" s="35">
        <v>2.2000000000000002E-2</v>
      </c>
      <c r="J13" s="10">
        <v>-0.08</v>
      </c>
      <c r="K13" s="10">
        <v>-0.08</v>
      </c>
      <c r="L13" s="3" t="s">
        <v>163</v>
      </c>
      <c r="M13" s="3">
        <v>1</v>
      </c>
      <c r="O13" t="s">
        <v>181</v>
      </c>
    </row>
    <row r="14" spans="1:25">
      <c r="A14" s="16">
        <v>38018</v>
      </c>
      <c r="B14">
        <v>64.430381999999994</v>
      </c>
      <c r="C14" s="1">
        <f>(B14/B13)-1</f>
        <v>2.1467592432439453E-2</v>
      </c>
      <c r="D14" s="28"/>
      <c r="E14" s="1"/>
      <c r="F14" s="1"/>
      <c r="G14" s="35"/>
      <c r="J14" s="10">
        <v>-0.06</v>
      </c>
      <c r="K14" s="10">
        <v>-0.06</v>
      </c>
      <c r="L14" s="21" t="s">
        <v>164</v>
      </c>
      <c r="M14" s="3">
        <v>0</v>
      </c>
      <c r="O14" t="s">
        <v>182</v>
      </c>
    </row>
    <row r="15" spans="1:25">
      <c r="A15" s="16">
        <v>38047</v>
      </c>
      <c r="B15">
        <v>65.502571000000003</v>
      </c>
      <c r="C15" s="1">
        <f t="shared" ref="C15:C78" si="0">(B15/B14)-1</f>
        <v>1.6641046765794476E-2</v>
      </c>
      <c r="D15" s="28"/>
      <c r="E15" s="1"/>
      <c r="F15" s="1"/>
      <c r="G15" s="35"/>
      <c r="J15" s="10">
        <v>-0.04</v>
      </c>
      <c r="K15" s="10">
        <v>-0.04</v>
      </c>
      <c r="L15" s="21" t="s">
        <v>165</v>
      </c>
      <c r="M15" s="3">
        <v>2</v>
      </c>
      <c r="O15" t="s">
        <v>387</v>
      </c>
    </row>
    <row r="16" spans="1:25">
      <c r="A16" s="16">
        <v>38078</v>
      </c>
      <c r="B16">
        <v>62.040835999999999</v>
      </c>
      <c r="C16" s="1">
        <f t="shared" si="0"/>
        <v>-5.2848841612644581E-2</v>
      </c>
      <c r="D16" s="29"/>
      <c r="E16" s="1"/>
      <c r="F16" s="1"/>
      <c r="G16" s="35">
        <v>3.1E-2</v>
      </c>
      <c r="J16" s="10">
        <v>-0.02</v>
      </c>
      <c r="K16" s="10">
        <v>-0.02</v>
      </c>
      <c r="L16" s="21" t="s">
        <v>166</v>
      </c>
      <c r="M16" s="3">
        <v>10</v>
      </c>
      <c r="O16" t="s">
        <v>388</v>
      </c>
    </row>
    <row r="17" spans="1:16">
      <c r="A17" s="16">
        <v>38108</v>
      </c>
      <c r="B17">
        <v>63.261493999999999</v>
      </c>
      <c r="C17" s="1">
        <f t="shared" si="0"/>
        <v>1.9675073366193896E-2</v>
      </c>
      <c r="D17" s="29"/>
      <c r="E17" s="1"/>
      <c r="F17" s="1"/>
      <c r="G17" s="35"/>
      <c r="J17" s="10">
        <v>0</v>
      </c>
      <c r="K17" s="10">
        <v>0</v>
      </c>
      <c r="L17" s="21" t="s">
        <v>167</v>
      </c>
      <c r="M17" s="3">
        <v>54</v>
      </c>
      <c r="O17" t="s">
        <v>389</v>
      </c>
      <c r="P17" t="s">
        <v>390</v>
      </c>
    </row>
    <row r="18" spans="1:16">
      <c r="A18" s="16">
        <v>38139</v>
      </c>
      <c r="B18">
        <v>63.089435999999999</v>
      </c>
      <c r="C18" s="1">
        <f t="shared" si="0"/>
        <v>-2.7197903356502851E-3</v>
      </c>
      <c r="D18" s="29"/>
      <c r="E18" s="1"/>
      <c r="F18" s="1"/>
      <c r="G18" s="35"/>
      <c r="J18" s="10">
        <v>0.02</v>
      </c>
      <c r="K18" s="10">
        <v>0.02</v>
      </c>
      <c r="L18" s="3" t="s">
        <v>168</v>
      </c>
      <c r="M18" s="3">
        <v>107</v>
      </c>
    </row>
    <row r="19" spans="1:16">
      <c r="A19" s="16">
        <v>38169</v>
      </c>
      <c r="B19">
        <v>63.768954999999998</v>
      </c>
      <c r="C19" s="1">
        <f t="shared" si="0"/>
        <v>1.0770725545874216E-2</v>
      </c>
      <c r="D19" s="28"/>
      <c r="E19" s="1"/>
      <c r="F19" s="1"/>
      <c r="G19" s="35">
        <v>3.7999999999999999E-2</v>
      </c>
      <c r="J19" s="10">
        <v>0.04</v>
      </c>
      <c r="K19" s="10">
        <v>0.04</v>
      </c>
      <c r="L19" s="3" t="s">
        <v>169</v>
      </c>
      <c r="M19" s="3">
        <v>18</v>
      </c>
    </row>
    <row r="20" spans="1:16">
      <c r="A20" s="16">
        <v>38200</v>
      </c>
      <c r="B20">
        <v>65.404274000000001</v>
      </c>
      <c r="C20" s="1">
        <f t="shared" si="0"/>
        <v>2.5644437798925779E-2</v>
      </c>
      <c r="D20" s="29"/>
      <c r="E20" s="1"/>
      <c r="F20" s="1"/>
      <c r="G20" s="35"/>
      <c r="J20" s="10">
        <v>0.06</v>
      </c>
      <c r="K20" s="10">
        <v>0.06</v>
      </c>
      <c r="L20" s="3" t="s">
        <v>170</v>
      </c>
      <c r="M20" s="3">
        <v>4</v>
      </c>
    </row>
    <row r="21" spans="1:16">
      <c r="A21" s="16">
        <v>38231</v>
      </c>
      <c r="B21">
        <v>65.537430000000001</v>
      </c>
      <c r="C21" s="1">
        <f t="shared" si="0"/>
        <v>2.0358914159035457E-3</v>
      </c>
      <c r="D21" s="28"/>
      <c r="E21" s="1"/>
      <c r="F21" s="1"/>
      <c r="G21" s="35"/>
      <c r="J21" s="10">
        <v>0.08</v>
      </c>
      <c r="K21" s="10">
        <v>0.08</v>
      </c>
      <c r="L21" s="3" t="s">
        <v>171</v>
      </c>
      <c r="M21" s="3">
        <v>1</v>
      </c>
    </row>
    <row r="22" spans="1:16">
      <c r="A22" s="16">
        <v>38261</v>
      </c>
      <c r="B22">
        <v>66.525620000000004</v>
      </c>
      <c r="C22" s="1">
        <f t="shared" si="0"/>
        <v>1.5078253755144155E-2</v>
      </c>
      <c r="D22" s="28"/>
      <c r="E22" s="1"/>
      <c r="F22" s="1"/>
      <c r="G22" s="35">
        <v>4.0999999999999995E-2</v>
      </c>
      <c r="J22" s="3"/>
      <c r="K22" s="3" t="s">
        <v>37</v>
      </c>
      <c r="L22" s="3" t="s">
        <v>172</v>
      </c>
      <c r="M22" s="3">
        <v>0</v>
      </c>
    </row>
    <row r="23" spans="1:16">
      <c r="A23" s="16">
        <v>38292</v>
      </c>
      <c r="B23">
        <v>66.203513999999998</v>
      </c>
      <c r="C23" s="1">
        <f t="shared" si="0"/>
        <v>-4.8418338679143691E-3</v>
      </c>
      <c r="D23" s="29"/>
      <c r="E23" s="1"/>
      <c r="F23" s="1"/>
      <c r="G23" s="35"/>
    </row>
    <row r="24" spans="1:16">
      <c r="A24" s="16">
        <v>38322</v>
      </c>
      <c r="B24">
        <v>66.935576999999995</v>
      </c>
      <c r="C24" s="1">
        <f t="shared" si="0"/>
        <v>1.1057766510702116E-2</v>
      </c>
      <c r="D24" s="29"/>
      <c r="E24" s="1"/>
      <c r="F24" s="1"/>
      <c r="G24" s="35"/>
    </row>
    <row r="25" spans="1:16">
      <c r="A25" s="16">
        <v>38353</v>
      </c>
      <c r="B25">
        <v>67.481987000000004</v>
      </c>
      <c r="C25" s="1">
        <f t="shared" si="0"/>
        <v>8.1632223772420964E-3</v>
      </c>
      <c r="D25" s="29"/>
      <c r="E25" s="1"/>
      <c r="F25" s="1"/>
      <c r="G25" s="35">
        <v>4.4999999999999998E-2</v>
      </c>
      <c r="J25" s="23" t="s">
        <v>173</v>
      </c>
    </row>
    <row r="26" spans="1:16">
      <c r="A26" s="16">
        <v>38384</v>
      </c>
      <c r="B26">
        <v>67.022857999999999</v>
      </c>
      <c r="C26" s="1">
        <f t="shared" si="0"/>
        <v>-6.803726748591532E-3</v>
      </c>
      <c r="D26" s="29"/>
      <c r="E26" s="1"/>
      <c r="F26" s="1"/>
      <c r="G26" s="35"/>
      <c r="J26" s="3" t="s">
        <v>40</v>
      </c>
      <c r="K26" s="24">
        <v>3.5385940508537656E-3</v>
      </c>
    </row>
    <row r="27" spans="1:16">
      <c r="A27" s="16">
        <v>38412</v>
      </c>
      <c r="B27">
        <v>67.272521999999995</v>
      </c>
      <c r="C27" s="1">
        <f t="shared" si="0"/>
        <v>3.7250575020240095E-3</v>
      </c>
      <c r="D27" s="29"/>
      <c r="E27" s="1"/>
      <c r="F27" s="1"/>
      <c r="G27" s="35"/>
      <c r="J27" s="3" t="s">
        <v>41</v>
      </c>
      <c r="K27" s="24">
        <v>1.183258964681533E-3</v>
      </c>
    </row>
    <row r="28" spans="1:16">
      <c r="A28" s="16">
        <v>38443</v>
      </c>
      <c r="B28">
        <v>68.275268999999994</v>
      </c>
      <c r="C28" s="1">
        <f t="shared" si="0"/>
        <v>1.4905744131311183E-2</v>
      </c>
      <c r="D28" s="29"/>
      <c r="E28" s="1"/>
      <c r="F28" s="1"/>
      <c r="G28" s="35">
        <v>1.9E-2</v>
      </c>
      <c r="J28" s="3" t="s">
        <v>42</v>
      </c>
      <c r="K28" s="24">
        <v>3.6652755900195011E-3</v>
      </c>
    </row>
    <row r="29" spans="1:16">
      <c r="A29" s="16">
        <v>38473</v>
      </c>
      <c r="B29">
        <v>68.718086</v>
      </c>
      <c r="C29" s="1">
        <f t="shared" si="0"/>
        <v>6.4857598730223565E-3</v>
      </c>
      <c r="D29" s="28"/>
      <c r="E29" s="1"/>
      <c r="F29" s="1"/>
      <c r="G29" s="35"/>
      <c r="J29" s="3" t="s">
        <v>43</v>
      </c>
      <c r="K29" s="3">
        <v>0</v>
      </c>
    </row>
    <row r="30" spans="1:16">
      <c r="A30" s="16">
        <v>38504</v>
      </c>
      <c r="B30">
        <v>68.949966000000003</v>
      </c>
      <c r="C30" s="1">
        <f t="shared" si="0"/>
        <v>3.3743663931502521E-3</v>
      </c>
      <c r="D30" s="29"/>
      <c r="E30" s="1"/>
      <c r="F30" s="1"/>
      <c r="G30" s="35"/>
      <c r="J30" s="3" t="s">
        <v>44</v>
      </c>
      <c r="K30" s="24">
        <v>1.6607830989245554E-2</v>
      </c>
    </row>
    <row r="31" spans="1:16">
      <c r="A31" s="16">
        <v>38534</v>
      </c>
      <c r="B31">
        <v>67.198432999999994</v>
      </c>
      <c r="C31" s="1">
        <f t="shared" si="0"/>
        <v>-2.5402956688912792E-2</v>
      </c>
      <c r="D31" s="29"/>
      <c r="E31" s="1"/>
      <c r="F31" s="1"/>
      <c r="G31" s="35">
        <v>3.6000000000000004E-2</v>
      </c>
      <c r="J31" s="3" t="s">
        <v>45</v>
      </c>
      <c r="K31" s="24">
        <v>2.7582005016734497E-4</v>
      </c>
    </row>
    <row r="32" spans="1:16">
      <c r="A32" s="16">
        <v>38565</v>
      </c>
      <c r="B32">
        <v>68.894440000000003</v>
      </c>
      <c r="C32" s="1">
        <f t="shared" si="0"/>
        <v>2.5238787934236617E-2</v>
      </c>
      <c r="D32" s="28"/>
      <c r="E32" s="1"/>
      <c r="F32" s="1"/>
      <c r="G32" s="35"/>
      <c r="J32" s="3" t="s">
        <v>46</v>
      </c>
      <c r="K32" s="25">
        <v>4.8395635637358492</v>
      </c>
    </row>
    <row r="33" spans="1:13">
      <c r="A33" s="16">
        <v>38596</v>
      </c>
      <c r="B33">
        <v>68.963607999999994</v>
      </c>
      <c r="C33" s="1">
        <f t="shared" si="0"/>
        <v>1.003970712295299E-3</v>
      </c>
      <c r="D33" s="28"/>
      <c r="E33" s="1"/>
      <c r="F33" s="1"/>
      <c r="G33" s="35"/>
      <c r="J33" s="3" t="s">
        <v>47</v>
      </c>
      <c r="K33" s="25">
        <v>-0.54215100833704399</v>
      </c>
    </row>
    <row r="34" spans="1:13">
      <c r="A34" s="16">
        <v>38626</v>
      </c>
      <c r="B34">
        <v>68.124825000000001</v>
      </c>
      <c r="C34" s="1">
        <f t="shared" si="0"/>
        <v>-1.2162690211915739E-2</v>
      </c>
      <c r="D34" s="28"/>
      <c r="E34" s="1"/>
      <c r="F34" s="1"/>
      <c r="G34" s="35">
        <v>2.6000000000000002E-2</v>
      </c>
      <c r="J34" s="3" t="s">
        <v>48</v>
      </c>
      <c r="K34" s="24">
        <v>0.14614909036708068</v>
      </c>
    </row>
    <row r="35" spans="1:13">
      <c r="A35" s="16">
        <v>38657</v>
      </c>
      <c r="B35">
        <v>68.163077999999999</v>
      </c>
      <c r="C35" s="1">
        <f t="shared" si="0"/>
        <v>5.6151336902510174E-4</v>
      </c>
      <c r="D35" s="29"/>
      <c r="E35" s="1"/>
      <c r="F35" s="1"/>
      <c r="G35" s="35"/>
      <c r="J35" s="3" t="s">
        <v>49</v>
      </c>
      <c r="K35" s="24">
        <v>-8.1112815509976177E-2</v>
      </c>
    </row>
    <row r="36" spans="1:13">
      <c r="A36" s="16">
        <v>38687</v>
      </c>
      <c r="B36">
        <v>68.110709999999997</v>
      </c>
      <c r="C36" s="1">
        <f t="shared" si="0"/>
        <v>-7.6827516503874538E-4</v>
      </c>
      <c r="D36" s="28"/>
      <c r="E36" s="1"/>
      <c r="F36" s="1"/>
      <c r="G36" s="35"/>
      <c r="J36" s="3" t="s">
        <v>50</v>
      </c>
      <c r="K36" s="24">
        <v>6.5036274857104504E-2</v>
      </c>
    </row>
    <row r="37" spans="1:13">
      <c r="A37" s="16">
        <v>38718</v>
      </c>
      <c r="B37">
        <v>69.176247000000004</v>
      </c>
      <c r="C37" s="1">
        <f t="shared" si="0"/>
        <v>1.5644191640345584E-2</v>
      </c>
      <c r="D37" s="28"/>
      <c r="E37" s="1"/>
      <c r="F37" s="1"/>
      <c r="G37" s="35">
        <v>5.4000000000000006E-2</v>
      </c>
      <c r="J37" s="3" t="s">
        <v>51</v>
      </c>
      <c r="K37" s="25">
        <v>0.69710302801819179</v>
      </c>
    </row>
    <row r="38" spans="1:13">
      <c r="A38" s="16">
        <v>38749</v>
      </c>
      <c r="B38">
        <v>69.176247000000004</v>
      </c>
      <c r="C38" s="1">
        <f t="shared" si="0"/>
        <v>0</v>
      </c>
      <c r="D38" s="28"/>
      <c r="E38" s="1"/>
      <c r="F38" s="1"/>
      <c r="G38" s="35"/>
      <c r="J38" s="3" t="s">
        <v>16</v>
      </c>
      <c r="K38" s="3">
        <v>197</v>
      </c>
    </row>
    <row r="39" spans="1:13">
      <c r="A39" s="16">
        <v>38777</v>
      </c>
      <c r="B39">
        <v>67.696533000000002</v>
      </c>
      <c r="C39" s="1">
        <f t="shared" si="0"/>
        <v>-2.139049260651571E-2</v>
      </c>
      <c r="D39" s="29"/>
      <c r="E39" s="1"/>
      <c r="F39" s="1"/>
      <c r="G39" s="35"/>
    </row>
    <row r="40" spans="1:13">
      <c r="A40" s="16">
        <v>38808</v>
      </c>
      <c r="B40">
        <v>67.192047000000002</v>
      </c>
      <c r="C40" s="1">
        <f t="shared" si="0"/>
        <v>-7.4521689316053852E-3</v>
      </c>
      <c r="D40" s="28"/>
      <c r="E40" s="1"/>
      <c r="F40" s="1"/>
      <c r="G40" s="35">
        <v>9.0000000000000011E-3</v>
      </c>
    </row>
    <row r="41" spans="1:13">
      <c r="A41" s="16">
        <v>38838</v>
      </c>
      <c r="B41">
        <v>67.402420000000006</v>
      </c>
      <c r="C41" s="1">
        <f t="shared" si="0"/>
        <v>3.1309211341634668E-3</v>
      </c>
      <c r="D41" s="28"/>
      <c r="E41" s="1"/>
      <c r="F41" s="1"/>
      <c r="G41" s="35"/>
    </row>
    <row r="42" spans="1:13">
      <c r="A42" s="16">
        <v>38869</v>
      </c>
      <c r="B42">
        <v>67.649756999999994</v>
      </c>
      <c r="C42" s="1">
        <f t="shared" si="0"/>
        <v>3.6695566717039885E-3</v>
      </c>
      <c r="D42" s="29"/>
      <c r="E42" s="1"/>
      <c r="F42" s="1"/>
      <c r="G42" s="35"/>
    </row>
    <row r="43" spans="1:13">
      <c r="A43" s="16">
        <v>38899</v>
      </c>
      <c r="B43">
        <v>68.669974999999994</v>
      </c>
      <c r="C43" s="1">
        <f t="shared" si="0"/>
        <v>1.5080881960891634E-2</v>
      </c>
      <c r="D43" s="29"/>
      <c r="E43" s="1"/>
      <c r="F43" s="1"/>
      <c r="G43" s="35">
        <v>6.0000000000000001E-3</v>
      </c>
      <c r="J43" s="3" t="s">
        <v>75</v>
      </c>
      <c r="K43" s="3" t="s">
        <v>174</v>
      </c>
      <c r="L43" s="3" t="s">
        <v>54</v>
      </c>
      <c r="M43" s="3" t="s">
        <v>55</v>
      </c>
    </row>
    <row r="44" spans="1:13">
      <c r="A44" s="16">
        <v>38930</v>
      </c>
      <c r="B44">
        <v>69.811347999999995</v>
      </c>
      <c r="C44" s="1">
        <f t="shared" si="0"/>
        <v>1.662113609332172E-2</v>
      </c>
      <c r="D44" s="28"/>
      <c r="E44" s="1"/>
      <c r="F44" s="1"/>
      <c r="G44" s="35"/>
      <c r="J44" s="3" t="s">
        <v>56</v>
      </c>
      <c r="K44" s="9">
        <v>8.0600000000000005E-2</v>
      </c>
      <c r="L44" s="9">
        <v>5.6000000000000001E-2</v>
      </c>
      <c r="M44" s="9">
        <f>K44-L44</f>
        <v>2.4600000000000004E-2</v>
      </c>
    </row>
    <row r="45" spans="1:13">
      <c r="A45" s="16">
        <v>38961</v>
      </c>
      <c r="B45">
        <v>69.886070000000004</v>
      </c>
      <c r="C45" s="1">
        <f t="shared" si="0"/>
        <v>1.0703417444397623E-3</v>
      </c>
      <c r="D45" s="29"/>
      <c r="E45" s="1"/>
      <c r="F45" s="1"/>
      <c r="G45" s="35"/>
      <c r="J45" s="3" t="s">
        <v>57</v>
      </c>
      <c r="K45" s="9">
        <v>4.3099999999999999E-2</v>
      </c>
      <c r="L45" s="9">
        <v>1.9E-2</v>
      </c>
      <c r="M45" s="9">
        <f>K45-L45</f>
        <v>2.41E-2</v>
      </c>
    </row>
    <row r="46" spans="1:13">
      <c r="A46" s="16">
        <v>38991</v>
      </c>
      <c r="B46">
        <v>69.913437000000002</v>
      </c>
      <c r="C46" s="1">
        <f t="shared" si="0"/>
        <v>3.9159449086212383E-4</v>
      </c>
      <c r="D46" s="29"/>
      <c r="E46" s="1"/>
      <c r="F46" s="1"/>
      <c r="G46" s="35">
        <v>3.5000000000000003E-2</v>
      </c>
      <c r="J46" s="3" t="s">
        <v>58</v>
      </c>
      <c r="K46" s="9">
        <v>3.27E-2</v>
      </c>
      <c r="L46" s="9">
        <v>1.6E-2</v>
      </c>
      <c r="M46" s="9">
        <f>K46-L46</f>
        <v>1.67E-2</v>
      </c>
    </row>
    <row r="47" spans="1:13">
      <c r="A47" s="16">
        <v>39022</v>
      </c>
      <c r="B47">
        <v>70.586014000000006</v>
      </c>
      <c r="C47" s="1">
        <f t="shared" si="0"/>
        <v>9.6201392587809131E-3</v>
      </c>
      <c r="D47" s="29"/>
      <c r="E47" s="1"/>
      <c r="F47" s="1"/>
      <c r="G47" s="35"/>
      <c r="J47" s="3" t="s">
        <v>59</v>
      </c>
      <c r="K47" s="9">
        <v>3.4099999999999998E-2</v>
      </c>
      <c r="L47" s="9">
        <v>4.3400000000000001E-2</v>
      </c>
      <c r="M47" s="9">
        <f>K47-L47</f>
        <v>-9.3000000000000027E-3</v>
      </c>
    </row>
    <row r="48" spans="1:13">
      <c r="A48" s="16">
        <v>39052</v>
      </c>
      <c r="B48">
        <v>69.347785999999999</v>
      </c>
      <c r="C48" s="1">
        <f t="shared" si="0"/>
        <v>-1.7542115354466814E-2</v>
      </c>
      <c r="D48" s="28"/>
      <c r="E48" s="1"/>
      <c r="F48" s="1"/>
      <c r="G48" s="35"/>
    </row>
    <row r="49" spans="1:11">
      <c r="A49" s="16">
        <v>39083</v>
      </c>
      <c r="B49">
        <v>69.509238999999994</v>
      </c>
      <c r="C49" s="1">
        <f t="shared" si="0"/>
        <v>2.3281637282550616E-3</v>
      </c>
      <c r="D49" s="29"/>
      <c r="E49" s="1"/>
      <c r="F49" s="1"/>
      <c r="G49" s="35">
        <v>9.0000000000000011E-3</v>
      </c>
    </row>
    <row r="50" spans="1:11">
      <c r="A50" s="16">
        <v>39114</v>
      </c>
      <c r="B50">
        <v>70.884963999999997</v>
      </c>
      <c r="C50" s="1">
        <f t="shared" si="0"/>
        <v>1.9791973265597118E-2</v>
      </c>
      <c r="D50" s="28"/>
      <c r="E50" s="1"/>
      <c r="F50" s="1"/>
      <c r="G50" s="35"/>
      <c r="J50" s="23" t="s">
        <v>77</v>
      </c>
      <c r="K50" s="3"/>
    </row>
    <row r="51" spans="1:11">
      <c r="A51" s="16">
        <v>39142</v>
      </c>
      <c r="B51">
        <v>70.920044000000004</v>
      </c>
      <c r="C51" s="1">
        <f t="shared" si="0"/>
        <v>4.9488633442784646E-4</v>
      </c>
      <c r="D51" s="28"/>
      <c r="E51" s="1"/>
      <c r="F51" s="1"/>
      <c r="G51" s="35"/>
      <c r="J51" s="3" t="s">
        <v>175</v>
      </c>
      <c r="K51" s="9">
        <v>8.1100000000000005E-2</v>
      </c>
    </row>
    <row r="52" spans="1:11">
      <c r="A52" s="16">
        <v>39173</v>
      </c>
      <c r="B52">
        <v>71.326935000000006</v>
      </c>
      <c r="C52" s="1">
        <f t="shared" si="0"/>
        <v>5.7373201855317468E-3</v>
      </c>
      <c r="D52" s="29"/>
      <c r="E52" s="1"/>
      <c r="F52" s="1"/>
      <c r="G52" s="35">
        <v>2.3E-2</v>
      </c>
      <c r="J52" s="3" t="s">
        <v>176</v>
      </c>
      <c r="K52" s="9">
        <v>4.4900000000000002E-2</v>
      </c>
    </row>
    <row r="53" spans="1:11">
      <c r="A53" s="16">
        <v>39203</v>
      </c>
      <c r="B53">
        <v>70.380431999999999</v>
      </c>
      <c r="C53" s="1">
        <f t="shared" si="0"/>
        <v>-1.3269923907427206E-2</v>
      </c>
      <c r="D53" s="28"/>
      <c r="E53" s="1"/>
      <c r="F53" s="1"/>
      <c r="G53" s="35"/>
      <c r="J53" s="3" t="s">
        <v>177</v>
      </c>
      <c r="K53" s="9">
        <v>3.5799999999999998E-2</v>
      </c>
    </row>
    <row r="54" spans="1:11">
      <c r="A54" s="16">
        <v>39234</v>
      </c>
      <c r="B54">
        <v>70.181518999999994</v>
      </c>
      <c r="C54" s="1">
        <f t="shared" si="0"/>
        <v>-2.8262543202349777E-3</v>
      </c>
      <c r="D54" s="28"/>
      <c r="E54" s="1"/>
      <c r="F54" s="1"/>
      <c r="G54" s="35"/>
      <c r="J54" s="3" t="s">
        <v>178</v>
      </c>
      <c r="K54" s="9">
        <v>3.5400000000000001E-2</v>
      </c>
    </row>
    <row r="55" spans="1:11">
      <c r="A55" s="16">
        <v>39264</v>
      </c>
      <c r="B55">
        <v>71.801315000000002</v>
      </c>
      <c r="C55" s="1">
        <f t="shared" si="0"/>
        <v>2.3080093208013963E-2</v>
      </c>
      <c r="D55" s="28"/>
      <c r="E55" s="1"/>
      <c r="F55" s="1"/>
      <c r="G55" s="35">
        <v>2.2000000000000002E-2</v>
      </c>
      <c r="J55" s="3" t="s">
        <v>179</v>
      </c>
      <c r="K55" s="9">
        <v>3.5299999999999998E-2</v>
      </c>
    </row>
    <row r="56" spans="1:11">
      <c r="A56" s="16">
        <v>39295</v>
      </c>
      <c r="B56">
        <v>72.391655</v>
      </c>
      <c r="C56" s="1">
        <f t="shared" si="0"/>
        <v>8.2218549897030702E-3</v>
      </c>
      <c r="D56" s="29"/>
      <c r="E56" s="1"/>
      <c r="F56" s="1"/>
      <c r="G56" s="35"/>
    </row>
    <row r="57" spans="1:11">
      <c r="A57" s="16">
        <v>39326</v>
      </c>
      <c r="B57">
        <v>73.323516999999995</v>
      </c>
      <c r="C57" s="1">
        <f t="shared" si="0"/>
        <v>1.287250581576016E-2</v>
      </c>
      <c r="D57" s="28"/>
      <c r="E57" s="1"/>
      <c r="F57" s="1"/>
      <c r="G57" s="35"/>
    </row>
    <row r="58" spans="1:11">
      <c r="A58" s="16">
        <v>39356</v>
      </c>
      <c r="B58">
        <v>74.199539000000001</v>
      </c>
      <c r="C58" s="1">
        <f t="shared" si="0"/>
        <v>1.1947353807373995E-2</v>
      </c>
      <c r="D58" s="29"/>
      <c r="E58" s="1"/>
      <c r="F58" s="1"/>
      <c r="G58" s="35">
        <v>2.5000000000000001E-2</v>
      </c>
    </row>
    <row r="59" spans="1:11">
      <c r="A59" s="16">
        <v>39387</v>
      </c>
      <c r="B59">
        <v>77.329078999999993</v>
      </c>
      <c r="C59" s="1">
        <f t="shared" si="0"/>
        <v>4.2177350994053953E-2</v>
      </c>
      <c r="D59" s="29"/>
      <c r="E59" s="1"/>
      <c r="F59" s="1"/>
      <c r="G59" s="35"/>
    </row>
    <row r="60" spans="1:11">
      <c r="A60" s="16">
        <v>39417</v>
      </c>
      <c r="B60">
        <v>76.916190999999998</v>
      </c>
      <c r="C60" s="1">
        <f t="shared" si="0"/>
        <v>-5.339362699509187E-3</v>
      </c>
      <c r="D60" s="29"/>
      <c r="E60" s="1"/>
      <c r="F60" s="1"/>
      <c r="G60" s="35"/>
    </row>
    <row r="61" spans="1:11">
      <c r="A61" s="16">
        <v>39448</v>
      </c>
      <c r="B61">
        <v>80.392005999999995</v>
      </c>
      <c r="C61" s="1">
        <f t="shared" si="0"/>
        <v>4.5189640241025453E-2</v>
      </c>
      <c r="D61" s="29"/>
      <c r="E61" s="1"/>
      <c r="F61" s="1"/>
      <c r="G61" s="35">
        <v>-2.3E-2</v>
      </c>
    </row>
    <row r="62" spans="1:11">
      <c r="A62" s="16">
        <v>39479</v>
      </c>
      <c r="B62">
        <v>81.118324000000001</v>
      </c>
      <c r="C62" s="1">
        <f t="shared" si="0"/>
        <v>9.0347042714671311E-3</v>
      </c>
      <c r="D62" s="29"/>
      <c r="E62" s="1"/>
      <c r="F62" s="1"/>
      <c r="G62" s="35"/>
      <c r="J62" t="s">
        <v>60</v>
      </c>
      <c r="K62" t="s">
        <v>180</v>
      </c>
    </row>
    <row r="63" spans="1:11">
      <c r="A63" s="16">
        <v>39508</v>
      </c>
      <c r="B63">
        <v>81.041718000000003</v>
      </c>
      <c r="C63" s="1">
        <f t="shared" si="0"/>
        <v>-9.4437355485799124E-4</v>
      </c>
      <c r="D63" s="28"/>
      <c r="E63" s="1"/>
      <c r="F63" s="1"/>
      <c r="G63" s="35"/>
      <c r="J63" t="s">
        <v>61</v>
      </c>
    </row>
    <row r="64" spans="1:11">
      <c r="A64" s="16">
        <v>39539</v>
      </c>
      <c r="B64">
        <v>79.354636999999997</v>
      </c>
      <c r="C64" s="1">
        <f t="shared" si="0"/>
        <v>-2.0817438741858929E-2</v>
      </c>
      <c r="D64" s="29"/>
      <c r="E64" s="1"/>
      <c r="F64" s="1"/>
      <c r="G64" s="35">
        <v>2.1000000000000001E-2</v>
      </c>
      <c r="J64" t="s">
        <v>62</v>
      </c>
    </row>
    <row r="65" spans="1:7">
      <c r="A65" s="16">
        <v>39569</v>
      </c>
      <c r="B65">
        <v>80.034706</v>
      </c>
      <c r="C65" s="1">
        <f t="shared" si="0"/>
        <v>8.5699969870696169E-3</v>
      </c>
      <c r="D65" s="29"/>
      <c r="E65" s="1"/>
      <c r="F65" s="1"/>
      <c r="G65" s="35"/>
    </row>
    <row r="66" spans="1:7">
      <c r="A66" s="16">
        <v>39600</v>
      </c>
      <c r="B66">
        <v>81.173164</v>
      </c>
      <c r="C66" s="1">
        <f t="shared" si="0"/>
        <v>1.4224554032846726E-2</v>
      </c>
      <c r="D66" s="28"/>
      <c r="E66" s="1"/>
      <c r="F66" s="1"/>
      <c r="G66" s="35"/>
    </row>
    <row r="67" spans="1:7">
      <c r="A67" s="16">
        <v>39630</v>
      </c>
      <c r="B67">
        <v>80.759224000000003</v>
      </c>
      <c r="C67" s="1">
        <f t="shared" si="0"/>
        <v>-5.0994685879189872E-3</v>
      </c>
      <c r="D67" s="28"/>
      <c r="E67" s="1"/>
      <c r="F67" s="1"/>
      <c r="G67" s="35">
        <v>-2.1000000000000001E-2</v>
      </c>
    </row>
    <row r="68" spans="1:7">
      <c r="A68" s="16">
        <v>39661</v>
      </c>
      <c r="B68">
        <v>81.223288999999994</v>
      </c>
      <c r="C68" s="1">
        <f t="shared" si="0"/>
        <v>5.746278592275722E-3</v>
      </c>
      <c r="D68" s="29"/>
      <c r="E68" s="1"/>
      <c r="F68" s="1"/>
      <c r="G68" s="35"/>
    </row>
    <row r="69" spans="1:7">
      <c r="A69" s="16">
        <v>39692</v>
      </c>
      <c r="B69">
        <v>78.043807999999999</v>
      </c>
      <c r="C69" s="1">
        <f t="shared" si="0"/>
        <v>-3.9144942776202951E-2</v>
      </c>
      <c r="D69" s="29"/>
      <c r="E69" s="1"/>
      <c r="F69" s="1"/>
      <c r="G69" s="35"/>
    </row>
    <row r="70" spans="1:7">
      <c r="A70" s="16">
        <v>39722</v>
      </c>
      <c r="B70">
        <v>71.713454999999996</v>
      </c>
      <c r="C70" s="1">
        <f t="shared" si="0"/>
        <v>-8.1112815509976177E-2</v>
      </c>
      <c r="D70" s="29"/>
      <c r="E70" s="1"/>
      <c r="F70" s="1"/>
      <c r="G70" s="35">
        <v>-8.4000000000000005E-2</v>
      </c>
    </row>
    <row r="71" spans="1:7">
      <c r="A71" s="16">
        <v>39753</v>
      </c>
      <c r="B71">
        <v>72.918137000000002</v>
      </c>
      <c r="C71" s="1">
        <f t="shared" si="0"/>
        <v>1.6798549170445209E-2</v>
      </c>
      <c r="D71" s="28"/>
      <c r="E71" s="1"/>
      <c r="F71" s="1"/>
      <c r="G71" s="35"/>
    </row>
    <row r="72" spans="1:7">
      <c r="A72" s="16">
        <v>39783</v>
      </c>
      <c r="B72">
        <v>77.660460999999998</v>
      </c>
      <c r="C72" s="1">
        <f t="shared" si="0"/>
        <v>6.5036274857104504E-2</v>
      </c>
      <c r="D72" s="28"/>
      <c r="E72" s="1"/>
      <c r="F72" s="1"/>
      <c r="G72" s="35"/>
    </row>
    <row r="73" spans="1:7">
      <c r="A73" s="16">
        <v>39814</v>
      </c>
      <c r="B73">
        <v>77.629104999999996</v>
      </c>
      <c r="C73" s="1">
        <f t="shared" si="0"/>
        <v>-4.0375758263910821E-4</v>
      </c>
      <c r="D73" s="28"/>
      <c r="E73" s="1"/>
      <c r="F73" s="1"/>
      <c r="G73" s="35">
        <v>-4.4000000000000004E-2</v>
      </c>
    </row>
    <row r="74" spans="1:7">
      <c r="A74" s="16">
        <v>39845</v>
      </c>
      <c r="B74">
        <v>75.923141000000001</v>
      </c>
      <c r="C74" s="1">
        <f t="shared" si="0"/>
        <v>-2.1975829812800218E-2</v>
      </c>
      <c r="D74" s="28"/>
      <c r="E74" s="1"/>
      <c r="F74" s="1"/>
      <c r="G74" s="35"/>
    </row>
    <row r="75" spans="1:7">
      <c r="A75" s="16">
        <v>39873</v>
      </c>
      <c r="B75">
        <v>80.407227000000006</v>
      </c>
      <c r="C75" s="1">
        <f t="shared" si="0"/>
        <v>5.9060859982070557E-2</v>
      </c>
      <c r="D75" s="28"/>
      <c r="E75" s="1"/>
      <c r="F75" s="1"/>
      <c r="G75" s="35"/>
    </row>
    <row r="76" spans="1:7">
      <c r="A76" s="16">
        <v>39904</v>
      </c>
      <c r="B76">
        <v>78.599509999999995</v>
      </c>
      <c r="C76" s="1">
        <f t="shared" si="0"/>
        <v>-2.2482021423273491E-2</v>
      </c>
      <c r="D76" s="28"/>
      <c r="E76" s="1"/>
      <c r="F76" s="1"/>
      <c r="G76" s="35">
        <v>-6.0000000000000001E-3</v>
      </c>
    </row>
    <row r="77" spans="1:7">
      <c r="A77" s="16">
        <v>39934</v>
      </c>
      <c r="B77">
        <v>80.040833000000006</v>
      </c>
      <c r="C77" s="1">
        <f t="shared" si="0"/>
        <v>1.8337557066195664E-2</v>
      </c>
      <c r="D77" s="28"/>
      <c r="E77" s="1"/>
      <c r="F77" s="1"/>
      <c r="G77" s="35"/>
    </row>
    <row r="78" spans="1:7">
      <c r="A78" s="16">
        <v>39965</v>
      </c>
      <c r="B78">
        <v>80.405884</v>
      </c>
      <c r="C78" s="1">
        <f t="shared" si="0"/>
        <v>4.5608096057669911E-3</v>
      </c>
      <c r="D78" s="28"/>
      <c r="E78" s="1"/>
      <c r="F78" s="1"/>
      <c r="G78" s="35"/>
    </row>
    <row r="79" spans="1:7">
      <c r="A79" s="16">
        <v>39995</v>
      </c>
      <c r="B79">
        <v>80.461776999999998</v>
      </c>
      <c r="C79" s="1">
        <f t="shared" ref="C79:C142" si="1">(B79/B78)-1</f>
        <v>6.9513569429813238E-4</v>
      </c>
      <c r="D79" s="29"/>
      <c r="E79" s="1"/>
      <c r="F79" s="1"/>
      <c r="G79" s="35">
        <v>1.4999999999999999E-2</v>
      </c>
    </row>
    <row r="80" spans="1:7">
      <c r="A80" s="16">
        <v>40026</v>
      </c>
      <c r="B80">
        <v>81.105652000000006</v>
      </c>
      <c r="C80" s="1">
        <f t="shared" si="1"/>
        <v>8.0022468308151851E-3</v>
      </c>
      <c r="D80" s="28"/>
      <c r="E80" s="1"/>
      <c r="F80" s="1"/>
      <c r="G80" s="35"/>
    </row>
    <row r="81" spans="1:7">
      <c r="A81" s="16">
        <v>40057</v>
      </c>
      <c r="B81">
        <v>82.346930999999998</v>
      </c>
      <c r="C81" s="1">
        <f t="shared" si="1"/>
        <v>1.530446977973865E-2</v>
      </c>
      <c r="D81" s="28"/>
      <c r="E81" s="1"/>
      <c r="F81" s="1"/>
      <c r="G81" s="35"/>
    </row>
    <row r="82" spans="1:7">
      <c r="A82" s="16">
        <v>40087</v>
      </c>
      <c r="B82">
        <v>84.010941000000003</v>
      </c>
      <c r="C82" s="1">
        <f t="shared" si="1"/>
        <v>2.020731045823676E-2</v>
      </c>
      <c r="D82" s="29"/>
      <c r="E82" s="1"/>
      <c r="F82" s="1"/>
      <c r="G82" s="35">
        <v>4.4999999999999998E-2</v>
      </c>
    </row>
    <row r="83" spans="1:7">
      <c r="A83" s="16">
        <v>40118</v>
      </c>
      <c r="B83">
        <v>86.118026999999998</v>
      </c>
      <c r="C83" s="1">
        <f t="shared" si="1"/>
        <v>2.5081090330841604E-2</v>
      </c>
      <c r="D83" s="29"/>
      <c r="E83" s="1"/>
      <c r="F83" s="1"/>
      <c r="G83" s="35"/>
    </row>
    <row r="84" spans="1:7">
      <c r="A84" s="16">
        <v>40148</v>
      </c>
      <c r="B84">
        <v>84.237442000000001</v>
      </c>
      <c r="C84" s="1">
        <f t="shared" si="1"/>
        <v>-2.183729778203114E-2</v>
      </c>
      <c r="D84" s="28"/>
      <c r="E84" s="1"/>
      <c r="F84" s="1"/>
      <c r="G84" s="35"/>
    </row>
    <row r="85" spans="1:7">
      <c r="A85" s="16">
        <v>40179</v>
      </c>
      <c r="B85">
        <v>85.891647000000006</v>
      </c>
      <c r="C85" s="1">
        <f t="shared" si="1"/>
        <v>1.9637407793080985E-2</v>
      </c>
      <c r="D85" s="29"/>
      <c r="E85" s="1"/>
      <c r="F85" s="1"/>
      <c r="G85" s="35">
        <v>1.4999999999999999E-2</v>
      </c>
    </row>
    <row r="86" spans="1:7">
      <c r="A86" s="16">
        <v>40210</v>
      </c>
      <c r="B86">
        <v>84.605179000000007</v>
      </c>
      <c r="C86" s="1">
        <f t="shared" si="1"/>
        <v>-1.4977801042748706E-2</v>
      </c>
      <c r="D86" s="28"/>
      <c r="E86" s="1"/>
      <c r="F86" s="1"/>
      <c r="G86" s="35"/>
    </row>
    <row r="87" spans="1:7">
      <c r="A87" s="16">
        <v>40238</v>
      </c>
      <c r="B87">
        <v>84.764190999999997</v>
      </c>
      <c r="C87" s="1">
        <f t="shared" si="1"/>
        <v>1.8794594122895081E-3</v>
      </c>
      <c r="D87" s="28"/>
      <c r="E87" s="1"/>
      <c r="F87" s="1"/>
      <c r="G87" s="35"/>
    </row>
    <row r="88" spans="1:7">
      <c r="A88" s="16">
        <v>40269</v>
      </c>
      <c r="B88">
        <v>86.529678000000004</v>
      </c>
      <c r="C88" s="1">
        <f t="shared" si="1"/>
        <v>2.0828217424973872E-2</v>
      </c>
      <c r="D88" s="28"/>
      <c r="E88" s="1"/>
      <c r="F88" s="1"/>
      <c r="G88" s="35">
        <v>3.7000000000000005E-2</v>
      </c>
    </row>
    <row r="89" spans="1:7">
      <c r="A89" s="16">
        <v>40299</v>
      </c>
      <c r="B89">
        <v>86.932120999999995</v>
      </c>
      <c r="C89" s="1">
        <f t="shared" si="1"/>
        <v>4.6509245070804894E-3</v>
      </c>
      <c r="D89" s="28"/>
      <c r="E89" s="1"/>
      <c r="F89" s="1"/>
      <c r="G89" s="35"/>
    </row>
    <row r="90" spans="1:7">
      <c r="A90" s="16">
        <v>40330</v>
      </c>
      <c r="B90">
        <v>87.730666999999997</v>
      </c>
      <c r="C90" s="1">
        <f t="shared" si="1"/>
        <v>9.1858566294500399E-3</v>
      </c>
      <c r="D90" s="29"/>
      <c r="E90" s="1"/>
      <c r="F90" s="1"/>
      <c r="G90" s="35"/>
    </row>
    <row r="91" spans="1:7">
      <c r="A91" s="16">
        <v>40360</v>
      </c>
      <c r="B91">
        <v>87.734863000000004</v>
      </c>
      <c r="C91" s="1">
        <f t="shared" si="1"/>
        <v>4.782820128346188E-5</v>
      </c>
      <c r="D91" s="28"/>
      <c r="E91" s="1"/>
      <c r="F91" s="1"/>
      <c r="G91" s="35">
        <v>0.03</v>
      </c>
    </row>
    <row r="92" spans="1:7">
      <c r="A92" s="16">
        <v>40391</v>
      </c>
      <c r="B92">
        <v>89.512496999999996</v>
      </c>
      <c r="C92" s="1">
        <f t="shared" si="1"/>
        <v>2.026143244789691E-2</v>
      </c>
      <c r="D92" s="29"/>
      <c r="E92" s="1"/>
      <c r="F92" s="1"/>
      <c r="G92" s="35"/>
    </row>
    <row r="93" spans="1:7">
      <c r="A93" s="16">
        <v>40422</v>
      </c>
      <c r="B93">
        <v>90.353745000000004</v>
      </c>
      <c r="C93" s="1">
        <f t="shared" si="1"/>
        <v>9.398106724695765E-3</v>
      </c>
      <c r="D93" s="28"/>
      <c r="E93" s="1"/>
      <c r="F93" s="1"/>
      <c r="G93" s="35"/>
    </row>
    <row r="94" spans="1:7">
      <c r="A94" s="16">
        <v>40452</v>
      </c>
      <c r="B94">
        <v>92.500320000000002</v>
      </c>
      <c r="C94" s="1">
        <f t="shared" si="1"/>
        <v>2.3757454657800769E-2</v>
      </c>
      <c r="D94" s="28"/>
      <c r="E94" s="1"/>
      <c r="F94" s="1"/>
      <c r="G94" s="35">
        <v>0.02</v>
      </c>
    </row>
    <row r="95" spans="1:7">
      <c r="A95" s="16">
        <v>40483</v>
      </c>
      <c r="B95">
        <v>90.839325000000002</v>
      </c>
      <c r="C95" s="1">
        <f t="shared" si="1"/>
        <v>-1.7956640582432626E-2</v>
      </c>
      <c r="D95" s="28"/>
      <c r="E95" s="1"/>
      <c r="F95" s="1"/>
      <c r="G95" s="35"/>
    </row>
    <row r="96" spans="1:7">
      <c r="A96" s="16">
        <v>40513</v>
      </c>
      <c r="B96">
        <v>89.417304999999999</v>
      </c>
      <c r="C96" s="1">
        <f t="shared" si="1"/>
        <v>-1.5654233450105526E-2</v>
      </c>
      <c r="D96" s="29"/>
      <c r="E96" s="1"/>
      <c r="F96" s="1"/>
      <c r="G96" s="35"/>
    </row>
    <row r="97" spans="1:7">
      <c r="A97" s="16">
        <v>40544</v>
      </c>
      <c r="B97">
        <v>89.800567999999998</v>
      </c>
      <c r="C97" s="1">
        <f t="shared" si="1"/>
        <v>4.2862284878748547E-3</v>
      </c>
      <c r="D97" s="29"/>
      <c r="E97" s="1"/>
      <c r="F97" s="1"/>
      <c r="G97" s="35">
        <v>-0.01</v>
      </c>
    </row>
    <row r="98" spans="1:7">
      <c r="A98" s="16">
        <v>40575</v>
      </c>
      <c r="B98">
        <v>90.309997999999993</v>
      </c>
      <c r="C98" s="1">
        <f t="shared" si="1"/>
        <v>5.6729039843044227E-3</v>
      </c>
      <c r="D98" s="29"/>
      <c r="E98" s="1"/>
      <c r="F98" s="1"/>
      <c r="G98" s="35"/>
    </row>
    <row r="99" spans="1:7">
      <c r="A99" s="16">
        <v>40603</v>
      </c>
      <c r="B99">
        <v>91.292618000000004</v>
      </c>
      <c r="C99" s="1">
        <f t="shared" si="1"/>
        <v>1.0880522885184929E-2</v>
      </c>
      <c r="D99" s="29"/>
      <c r="E99" s="1"/>
      <c r="F99" s="1"/>
      <c r="G99" s="35"/>
    </row>
    <row r="100" spans="1:7">
      <c r="A100" s="16">
        <v>40634</v>
      </c>
      <c r="B100">
        <v>93.201369999999997</v>
      </c>
      <c r="C100" s="1">
        <f t="shared" si="1"/>
        <v>2.0908065096785666E-2</v>
      </c>
      <c r="D100" s="28"/>
      <c r="E100" s="1"/>
      <c r="F100" s="1"/>
      <c r="G100" s="35">
        <v>2.8999999999999998E-2</v>
      </c>
    </row>
    <row r="101" spans="1:7">
      <c r="A101" s="16">
        <v>40664</v>
      </c>
      <c r="B101">
        <v>93.448074000000005</v>
      </c>
      <c r="C101" s="1">
        <f t="shared" si="1"/>
        <v>2.6469997168496739E-3</v>
      </c>
      <c r="D101" s="29"/>
      <c r="E101" s="1"/>
      <c r="F101" s="1"/>
      <c r="G101" s="35"/>
    </row>
    <row r="102" spans="1:7">
      <c r="A102" s="16">
        <v>40695</v>
      </c>
      <c r="B102">
        <v>93.763656999999995</v>
      </c>
      <c r="C102" s="1">
        <f t="shared" si="1"/>
        <v>3.37709474889758E-3</v>
      </c>
      <c r="D102" s="29"/>
      <c r="E102" s="1"/>
      <c r="F102" s="1"/>
      <c r="G102" s="35"/>
    </row>
    <row r="103" spans="1:7">
      <c r="A103" s="16">
        <v>40725</v>
      </c>
      <c r="B103">
        <v>97.679496999999998</v>
      </c>
      <c r="C103" s="1">
        <f t="shared" si="1"/>
        <v>4.1762876206929533E-2</v>
      </c>
      <c r="D103" s="28"/>
      <c r="E103" s="1"/>
      <c r="F103" s="1"/>
      <c r="G103" s="35">
        <v>-1E-3</v>
      </c>
    </row>
    <row r="104" spans="1:7">
      <c r="A104" s="16">
        <v>40756</v>
      </c>
      <c r="B104">
        <v>98.479843000000002</v>
      </c>
      <c r="C104" s="1">
        <f t="shared" si="1"/>
        <v>8.1935925611902327E-3</v>
      </c>
      <c r="D104" s="29"/>
      <c r="E104" s="1"/>
      <c r="F104" s="1"/>
      <c r="G104" s="35"/>
    </row>
    <row r="105" spans="1:7">
      <c r="A105" s="16">
        <v>40787</v>
      </c>
      <c r="B105">
        <v>98.966232000000005</v>
      </c>
      <c r="C105" s="1">
        <f t="shared" si="1"/>
        <v>4.9389700996984587E-3</v>
      </c>
      <c r="D105" s="28"/>
      <c r="E105" s="1"/>
      <c r="F105" s="1"/>
      <c r="G105" s="35"/>
    </row>
    <row r="106" spans="1:7">
      <c r="A106" s="16">
        <v>40817</v>
      </c>
      <c r="B106">
        <v>100.871269</v>
      </c>
      <c r="C106" s="1">
        <f t="shared" si="1"/>
        <v>1.9249363762783078E-2</v>
      </c>
      <c r="D106" s="29"/>
      <c r="E106" s="1"/>
      <c r="F106" s="1"/>
      <c r="G106" s="35">
        <v>4.7E-2</v>
      </c>
    </row>
    <row r="107" spans="1:7">
      <c r="A107" s="16">
        <v>40848</v>
      </c>
      <c r="B107">
        <v>101.24099</v>
      </c>
      <c r="C107" s="1">
        <f t="shared" si="1"/>
        <v>3.6652755900195011E-3</v>
      </c>
      <c r="D107" s="29"/>
      <c r="E107" s="1"/>
      <c r="F107" s="1"/>
      <c r="G107" s="35"/>
    </row>
    <row r="108" spans="1:7">
      <c r="A108" s="16">
        <v>40878</v>
      </c>
      <c r="B108">
        <v>101.511353</v>
      </c>
      <c r="C108" s="1">
        <f t="shared" si="1"/>
        <v>2.6704894924476363E-3</v>
      </c>
      <c r="D108" s="28"/>
      <c r="E108" s="1"/>
      <c r="F108" s="1"/>
      <c r="G108" s="35"/>
    </row>
    <row r="109" spans="1:7">
      <c r="A109" s="16">
        <v>40909</v>
      </c>
      <c r="B109">
        <v>104.04884300000001</v>
      </c>
      <c r="C109" s="1">
        <f t="shared" si="1"/>
        <v>2.4997105496170624E-2</v>
      </c>
      <c r="D109" s="29"/>
      <c r="E109" s="1"/>
      <c r="F109" s="1"/>
      <c r="G109" s="35">
        <v>3.2000000000000001E-2</v>
      </c>
    </row>
    <row r="110" spans="1:7">
      <c r="A110" s="16">
        <v>40940</v>
      </c>
      <c r="B110">
        <v>103.447327</v>
      </c>
      <c r="C110" s="1">
        <f t="shared" si="1"/>
        <v>-5.7810926355039705E-3</v>
      </c>
      <c r="D110" s="29"/>
      <c r="E110" s="1"/>
      <c r="F110" s="1"/>
      <c r="G110" s="35"/>
    </row>
    <row r="111" spans="1:7">
      <c r="A111" s="16">
        <v>40969</v>
      </c>
      <c r="B111">
        <v>102.558182</v>
      </c>
      <c r="C111" s="1">
        <f t="shared" si="1"/>
        <v>-8.5951471708882732E-3</v>
      </c>
      <c r="D111" s="28"/>
      <c r="E111" s="1"/>
      <c r="F111" s="1"/>
      <c r="G111" s="35"/>
    </row>
    <row r="112" spans="1:7">
      <c r="A112" s="16">
        <v>41000</v>
      </c>
      <c r="B112">
        <v>104.101128</v>
      </c>
      <c r="C112" s="1">
        <f t="shared" si="1"/>
        <v>1.5044591956592912E-2</v>
      </c>
      <c r="D112" s="29"/>
      <c r="E112" s="1"/>
      <c r="F112" s="1"/>
      <c r="G112" s="35">
        <v>1.7000000000000001E-2</v>
      </c>
    </row>
    <row r="113" spans="1:7">
      <c r="A113" s="16">
        <v>41030</v>
      </c>
      <c r="B113">
        <v>106.04070299999999</v>
      </c>
      <c r="C113" s="1">
        <f t="shared" si="1"/>
        <v>1.8631642492865197E-2</v>
      </c>
      <c r="D113" s="29"/>
      <c r="E113" s="1"/>
      <c r="F113" s="1"/>
      <c r="G113" s="35"/>
    </row>
    <row r="114" spans="1:7">
      <c r="A114" s="16">
        <v>41061</v>
      </c>
      <c r="B114">
        <v>105.00794999999999</v>
      </c>
      <c r="C114" s="1">
        <f t="shared" si="1"/>
        <v>-9.7392130642514063E-3</v>
      </c>
      <c r="D114" s="29"/>
      <c r="E114" s="1"/>
      <c r="F114" s="1"/>
      <c r="G114" s="35"/>
    </row>
    <row r="115" spans="1:7">
      <c r="A115" s="16">
        <v>41091</v>
      </c>
      <c r="B115">
        <v>107.245148</v>
      </c>
      <c r="C115" s="1">
        <f t="shared" si="1"/>
        <v>2.1305034523576571E-2</v>
      </c>
      <c r="D115" s="29"/>
      <c r="E115" s="1"/>
      <c r="F115" s="1"/>
      <c r="G115" s="35">
        <v>5.0000000000000001E-3</v>
      </c>
    </row>
    <row r="116" spans="1:7">
      <c r="A116" s="16">
        <v>41122</v>
      </c>
      <c r="B116">
        <v>107.297577</v>
      </c>
      <c r="C116" s="1">
        <f t="shared" si="1"/>
        <v>4.888706014001265E-4</v>
      </c>
      <c r="D116" s="28"/>
      <c r="E116" s="1"/>
      <c r="F116" s="1"/>
      <c r="G116" s="35"/>
    </row>
    <row r="117" spans="1:7">
      <c r="A117" s="16">
        <v>41153</v>
      </c>
      <c r="B117">
        <v>107.84668000000001</v>
      </c>
      <c r="C117" s="1">
        <f t="shared" si="1"/>
        <v>5.1175712942708174E-3</v>
      </c>
      <c r="D117" s="28"/>
      <c r="E117" s="1"/>
      <c r="F117" s="1"/>
      <c r="G117" s="35"/>
    </row>
    <row r="118" spans="1:7">
      <c r="A118" s="16">
        <v>41183</v>
      </c>
      <c r="B118">
        <v>108.519875</v>
      </c>
      <c r="C118" s="1">
        <f t="shared" si="1"/>
        <v>6.2421485761081641E-3</v>
      </c>
      <c r="D118" s="29"/>
      <c r="E118" s="1"/>
      <c r="F118" s="1"/>
      <c r="G118" s="35">
        <v>5.0000000000000001E-3</v>
      </c>
    </row>
    <row r="119" spans="1:7">
      <c r="A119" s="16">
        <v>41214</v>
      </c>
      <c r="B119">
        <v>108.865318</v>
      </c>
      <c r="C119" s="1">
        <f t="shared" si="1"/>
        <v>3.1832233496398299E-3</v>
      </c>
      <c r="D119" s="29"/>
      <c r="E119" s="1"/>
      <c r="F119" s="1"/>
      <c r="G119" s="35"/>
    </row>
    <row r="120" spans="1:7">
      <c r="A120" s="16">
        <v>41244</v>
      </c>
      <c r="B120">
        <v>107.79360200000001</v>
      </c>
      <c r="C120" s="1">
        <f t="shared" si="1"/>
        <v>-9.8444207915692195E-3</v>
      </c>
      <c r="D120" s="28"/>
      <c r="E120" s="1"/>
      <c r="F120" s="1"/>
      <c r="G120" s="35"/>
    </row>
    <row r="121" spans="1:7">
      <c r="A121" s="16">
        <v>41275</v>
      </c>
      <c r="B121">
        <v>107.667046</v>
      </c>
      <c r="C121" s="1">
        <f t="shared" si="1"/>
        <v>-1.1740585494119937E-3</v>
      </c>
      <c r="D121" s="29"/>
      <c r="E121" s="1"/>
      <c r="F121" s="1"/>
      <c r="G121" s="35">
        <v>3.6000000000000004E-2</v>
      </c>
    </row>
    <row r="122" spans="1:7">
      <c r="A122" s="16">
        <v>41306</v>
      </c>
      <c r="B122">
        <v>107.872078</v>
      </c>
      <c r="C122" s="1">
        <f t="shared" si="1"/>
        <v>1.9043152721027745E-3</v>
      </c>
      <c r="D122" s="28"/>
      <c r="E122" s="1"/>
      <c r="F122" s="1"/>
      <c r="G122" s="35"/>
    </row>
    <row r="123" spans="1:7">
      <c r="A123" s="16">
        <v>41334</v>
      </c>
      <c r="B123">
        <v>108.103821</v>
      </c>
      <c r="C123" s="1">
        <f t="shared" si="1"/>
        <v>2.148313115837075E-3</v>
      </c>
      <c r="D123" s="29"/>
      <c r="E123" s="1"/>
      <c r="F123" s="1"/>
      <c r="G123" s="35"/>
    </row>
    <row r="124" spans="1:7">
      <c r="A124" s="16">
        <v>41365</v>
      </c>
      <c r="B124">
        <v>108.888321</v>
      </c>
      <c r="C124" s="1">
        <f t="shared" si="1"/>
        <v>7.2569127783190801E-3</v>
      </c>
      <c r="D124" s="29"/>
      <c r="E124" s="1"/>
      <c r="F124" s="1"/>
      <c r="G124" s="35">
        <v>5.0000000000000001E-3</v>
      </c>
    </row>
    <row r="125" spans="1:7">
      <c r="A125" s="16">
        <v>41395</v>
      </c>
      <c r="B125">
        <v>104.125427</v>
      </c>
      <c r="C125" s="1">
        <f t="shared" si="1"/>
        <v>-4.3741091388487918E-2</v>
      </c>
      <c r="D125" s="28"/>
      <c r="E125" s="1"/>
      <c r="F125" s="1"/>
      <c r="G125" s="35"/>
    </row>
    <row r="126" spans="1:7">
      <c r="A126" s="16">
        <v>41426</v>
      </c>
      <c r="B126">
        <v>100.170151</v>
      </c>
      <c r="C126" s="1">
        <f t="shared" si="1"/>
        <v>-3.7985688164332787E-2</v>
      </c>
      <c r="D126" s="28"/>
      <c r="E126" s="1"/>
      <c r="F126" s="1"/>
      <c r="G126" s="35"/>
    </row>
    <row r="127" spans="1:7">
      <c r="A127" s="16">
        <v>41456</v>
      </c>
      <c r="B127">
        <v>101.193237</v>
      </c>
      <c r="C127" s="1">
        <f t="shared" si="1"/>
        <v>1.0213481658822632E-2</v>
      </c>
      <c r="D127" s="28"/>
      <c r="E127" s="1"/>
      <c r="F127" s="1"/>
      <c r="G127" s="35">
        <v>3.2000000000000001E-2</v>
      </c>
    </row>
    <row r="128" spans="1:7">
      <c r="A128" s="16">
        <v>41487</v>
      </c>
      <c r="B128">
        <v>99.415847999999997</v>
      </c>
      <c r="C128" s="1">
        <f t="shared" si="1"/>
        <v>-1.7564306199632673E-2</v>
      </c>
      <c r="D128" s="28"/>
      <c r="E128" s="1"/>
      <c r="F128" s="1"/>
      <c r="G128" s="35"/>
    </row>
    <row r="129" spans="1:7">
      <c r="A129" s="16">
        <v>41518</v>
      </c>
      <c r="B129">
        <v>101.130371</v>
      </c>
      <c r="C129" s="1">
        <f t="shared" si="1"/>
        <v>1.7245972694413858E-2</v>
      </c>
      <c r="D129" s="28"/>
      <c r="E129" s="1"/>
      <c r="F129" s="1"/>
      <c r="G129" s="35"/>
    </row>
    <row r="130" spans="1:7">
      <c r="A130" s="16">
        <v>41548</v>
      </c>
      <c r="B130">
        <v>101.53025100000001</v>
      </c>
      <c r="C130" s="1">
        <f t="shared" si="1"/>
        <v>3.9541039555763824E-3</v>
      </c>
      <c r="D130" s="28"/>
      <c r="E130" s="1"/>
      <c r="F130" s="1"/>
      <c r="G130" s="35">
        <v>3.2000000000000001E-2</v>
      </c>
    </row>
    <row r="131" spans="1:7">
      <c r="A131" s="16">
        <v>41579</v>
      </c>
      <c r="B131">
        <v>100.39431</v>
      </c>
      <c r="C131" s="1">
        <f t="shared" si="1"/>
        <v>-1.1188202420577165E-2</v>
      </c>
      <c r="D131" s="28"/>
      <c r="E131" s="1"/>
      <c r="F131" s="1"/>
      <c r="G131" s="35"/>
    </row>
    <row r="132" spans="1:7">
      <c r="A132" s="16">
        <v>41609</v>
      </c>
      <c r="B132">
        <v>98.959557000000004</v>
      </c>
      <c r="C132" s="1">
        <f t="shared" si="1"/>
        <v>-1.4291178454237108E-2</v>
      </c>
      <c r="D132" s="28"/>
      <c r="E132" s="1"/>
      <c r="F132" s="1"/>
      <c r="G132" s="35"/>
    </row>
    <row r="133" spans="1:7">
      <c r="A133" s="16">
        <v>41640</v>
      </c>
      <c r="B133">
        <v>101.12112399999999</v>
      </c>
      <c r="C133" s="1">
        <f t="shared" si="1"/>
        <v>2.1842933270204368E-2</v>
      </c>
      <c r="D133" s="29"/>
      <c r="E133" s="1"/>
      <c r="F133" s="1"/>
      <c r="G133" s="35">
        <v>-1.1000000000000001E-2</v>
      </c>
    </row>
    <row r="134" spans="1:7">
      <c r="A134" s="16">
        <v>41671</v>
      </c>
      <c r="B134">
        <v>101.562698</v>
      </c>
      <c r="C134" s="1">
        <f t="shared" si="1"/>
        <v>4.3667829483382548E-3</v>
      </c>
      <c r="D134" s="28"/>
      <c r="E134" s="1"/>
      <c r="F134" s="1"/>
      <c r="G134" s="35"/>
    </row>
    <row r="135" spans="1:7">
      <c r="A135" s="16">
        <v>41699</v>
      </c>
      <c r="B135">
        <v>101.022026</v>
      </c>
      <c r="C135" s="1">
        <f t="shared" si="1"/>
        <v>-5.3235293138825801E-3</v>
      </c>
      <c r="D135" s="28"/>
      <c r="E135" s="1"/>
      <c r="F135" s="1"/>
      <c r="G135" s="35"/>
    </row>
    <row r="136" spans="1:7">
      <c r="A136" s="16">
        <v>41730</v>
      </c>
      <c r="B136">
        <v>102.355721</v>
      </c>
      <c r="C136" s="1">
        <f t="shared" si="1"/>
        <v>1.3202021903619299E-2</v>
      </c>
      <c r="D136" s="28"/>
      <c r="E136" s="1"/>
      <c r="F136" s="1"/>
      <c r="G136" s="35">
        <v>5.5E-2</v>
      </c>
    </row>
    <row r="137" spans="1:7">
      <c r="A137" s="16">
        <v>41760</v>
      </c>
      <c r="B137">
        <v>104.167114</v>
      </c>
      <c r="C137" s="1">
        <f t="shared" si="1"/>
        <v>1.7697037178801223E-2</v>
      </c>
      <c r="D137" s="28"/>
      <c r="E137" s="1"/>
      <c r="F137" s="1"/>
      <c r="G137" s="35"/>
    </row>
    <row r="138" spans="1:7">
      <c r="A138" s="16">
        <v>41791</v>
      </c>
      <c r="B138">
        <v>104.19652600000001</v>
      </c>
      <c r="C138" s="1">
        <f t="shared" si="1"/>
        <v>2.8235398745901641E-4</v>
      </c>
      <c r="D138" s="28"/>
      <c r="E138" s="1"/>
      <c r="F138" s="1"/>
      <c r="G138" s="35"/>
    </row>
    <row r="139" spans="1:7">
      <c r="A139" s="16">
        <v>41821</v>
      </c>
      <c r="B139">
        <v>104.38155399999999</v>
      </c>
      <c r="C139" s="1">
        <f t="shared" si="1"/>
        <v>1.7757597791694391E-3</v>
      </c>
      <c r="D139" s="29"/>
      <c r="E139" s="1"/>
      <c r="F139" s="1"/>
      <c r="G139" s="35">
        <v>0.05</v>
      </c>
    </row>
    <row r="140" spans="1:7">
      <c r="A140" s="16">
        <v>41852</v>
      </c>
      <c r="B140">
        <v>105.003525</v>
      </c>
      <c r="C140" s="1">
        <f t="shared" si="1"/>
        <v>5.9586294337024004E-3</v>
      </c>
      <c r="D140" s="29"/>
      <c r="E140" s="1"/>
      <c r="F140" s="1"/>
      <c r="G140" s="35"/>
    </row>
    <row r="141" spans="1:7">
      <c r="A141" s="16">
        <v>41883</v>
      </c>
      <c r="B141">
        <v>102.423569</v>
      </c>
      <c r="C141" s="1">
        <f t="shared" si="1"/>
        <v>-2.4570184667609962E-2</v>
      </c>
      <c r="D141" s="28"/>
      <c r="E141" s="1"/>
      <c r="F141" s="1"/>
      <c r="G141" s="35"/>
    </row>
    <row r="142" spans="1:7">
      <c r="A142" s="16">
        <v>41913</v>
      </c>
      <c r="B142">
        <v>103.520889</v>
      </c>
      <c r="C142" s="1">
        <f t="shared" si="1"/>
        <v>1.0713549729945315E-2</v>
      </c>
      <c r="D142" s="29"/>
      <c r="E142" s="1"/>
      <c r="F142" s="1"/>
      <c r="G142" s="35">
        <v>2.3E-2</v>
      </c>
    </row>
    <row r="143" spans="1:7">
      <c r="A143" s="16">
        <v>41944</v>
      </c>
      <c r="B143">
        <v>103.685661</v>
      </c>
      <c r="C143" s="1">
        <f t="shared" ref="C143:C206" si="2">(B143/B142)-1</f>
        <v>1.5916787577046065E-3</v>
      </c>
      <c r="D143" s="29"/>
      <c r="E143" s="1"/>
      <c r="F143" s="1"/>
      <c r="G143" s="35"/>
    </row>
    <row r="144" spans="1:7">
      <c r="A144" s="16">
        <v>41974</v>
      </c>
      <c r="B144">
        <v>102.54135100000001</v>
      </c>
      <c r="C144" s="1">
        <f t="shared" si="2"/>
        <v>-1.1036337994701051E-2</v>
      </c>
      <c r="D144" s="28"/>
      <c r="E144" s="1"/>
      <c r="F144" s="1"/>
      <c r="G144" s="35"/>
    </row>
    <row r="145" spans="1:7">
      <c r="A145" s="16">
        <v>42005</v>
      </c>
      <c r="B145">
        <v>105.911461</v>
      </c>
      <c r="C145" s="1">
        <f t="shared" si="2"/>
        <v>3.2865863060454581E-2</v>
      </c>
      <c r="D145" s="29"/>
      <c r="E145" s="1"/>
      <c r="F145" s="1"/>
      <c r="G145" s="35">
        <v>3.2000000000000001E-2</v>
      </c>
    </row>
    <row r="146" spans="1:7">
      <c r="A146" s="16">
        <v>42036</v>
      </c>
      <c r="B146">
        <v>104.546684</v>
      </c>
      <c r="C146" s="1">
        <f t="shared" si="2"/>
        <v>-1.288601806748757E-2</v>
      </c>
      <c r="D146" s="28"/>
      <c r="E146" s="1"/>
      <c r="F146" s="1"/>
      <c r="G146" s="35"/>
    </row>
    <row r="147" spans="1:7">
      <c r="A147" s="16">
        <v>42064</v>
      </c>
      <c r="B147">
        <v>104.0429</v>
      </c>
      <c r="C147" s="1">
        <f t="shared" si="2"/>
        <v>-4.8187468097983244E-3</v>
      </c>
      <c r="D147" s="29"/>
      <c r="E147" s="1"/>
      <c r="F147" s="1"/>
      <c r="G147" s="35"/>
    </row>
    <row r="148" spans="1:7">
      <c r="A148" s="16">
        <v>42095</v>
      </c>
      <c r="B148">
        <v>104.748169</v>
      </c>
      <c r="C148" s="1">
        <f t="shared" si="2"/>
        <v>6.7786365047495245E-3</v>
      </c>
      <c r="D148" s="29"/>
      <c r="E148" s="1"/>
      <c r="F148" s="1"/>
      <c r="G148" s="35">
        <v>0.03</v>
      </c>
    </row>
    <row r="149" spans="1:7">
      <c r="A149" s="16">
        <v>42125</v>
      </c>
      <c r="B149">
        <v>103.694847</v>
      </c>
      <c r="C149" s="1">
        <f t="shared" si="2"/>
        <v>-1.0055755723997528E-2</v>
      </c>
      <c r="D149" s="29"/>
      <c r="E149" s="1"/>
      <c r="F149" s="1"/>
      <c r="G149" s="35"/>
    </row>
    <row r="150" spans="1:7">
      <c r="A150" s="16">
        <v>42156</v>
      </c>
      <c r="B150">
        <v>102.63233200000001</v>
      </c>
      <c r="C150" s="1">
        <f t="shared" si="2"/>
        <v>-1.0246555453232831E-2</v>
      </c>
      <c r="D150" s="28"/>
      <c r="E150" s="1"/>
      <c r="F150" s="1"/>
      <c r="G150" s="35"/>
    </row>
    <row r="151" spans="1:7">
      <c r="A151" s="16">
        <v>42186</v>
      </c>
      <c r="B151">
        <v>103.18190800000001</v>
      </c>
      <c r="C151" s="1">
        <f t="shared" si="2"/>
        <v>5.3548037863935249E-3</v>
      </c>
      <c r="D151" s="28"/>
      <c r="E151" s="1"/>
      <c r="F151" s="1"/>
      <c r="G151" s="35">
        <v>1.3000000000000001E-2</v>
      </c>
    </row>
    <row r="152" spans="1:7">
      <c r="A152" s="16">
        <v>42217</v>
      </c>
      <c r="B152">
        <v>102.20182800000001</v>
      </c>
      <c r="C152" s="1">
        <f t="shared" si="2"/>
        <v>-9.4985644188707585E-3</v>
      </c>
      <c r="D152" s="29"/>
      <c r="E152" s="1"/>
      <c r="F152" s="1"/>
      <c r="G152" s="35"/>
    </row>
    <row r="153" spans="1:7">
      <c r="A153" s="16">
        <v>42248</v>
      </c>
      <c r="B153">
        <v>101.38664199999999</v>
      </c>
      <c r="C153" s="1">
        <f t="shared" si="2"/>
        <v>-7.9762369808102918E-3</v>
      </c>
      <c r="D153" s="28"/>
      <c r="E153" s="1"/>
      <c r="F153" s="1"/>
      <c r="G153" s="35"/>
    </row>
    <row r="154" spans="1:7">
      <c r="A154" s="16">
        <v>42278</v>
      </c>
      <c r="B154">
        <v>101.915268</v>
      </c>
      <c r="C154" s="1">
        <f t="shared" si="2"/>
        <v>5.2139610265422576E-3</v>
      </c>
      <c r="D154" s="29"/>
      <c r="E154" s="1"/>
      <c r="F154" s="1"/>
      <c r="G154" s="35">
        <v>1E-3</v>
      </c>
    </row>
    <row r="155" spans="1:7">
      <c r="A155" s="16">
        <v>42309</v>
      </c>
      <c r="B155">
        <v>101.825317</v>
      </c>
      <c r="C155" s="1">
        <f t="shared" si="2"/>
        <v>-8.8260573479526094E-4</v>
      </c>
      <c r="D155" s="28"/>
      <c r="E155" s="1"/>
      <c r="F155" s="1"/>
      <c r="G155" s="35"/>
    </row>
    <row r="156" spans="1:7">
      <c r="A156" s="16">
        <v>42339</v>
      </c>
      <c r="B156">
        <v>100.796066</v>
      </c>
      <c r="C156" s="1">
        <f t="shared" si="2"/>
        <v>-1.0108006832917571E-2</v>
      </c>
      <c r="D156" s="29"/>
      <c r="E156" s="1"/>
      <c r="F156" s="1"/>
      <c r="G156" s="35"/>
    </row>
    <row r="157" spans="1:7">
      <c r="A157" s="16">
        <v>42370</v>
      </c>
      <c r="B157">
        <v>102.376762</v>
      </c>
      <c r="C157" s="1">
        <f t="shared" si="2"/>
        <v>1.5682119974801401E-2</v>
      </c>
      <c r="D157" s="29"/>
      <c r="E157" s="1"/>
      <c r="F157" s="1"/>
      <c r="G157" s="35">
        <v>0.02</v>
      </c>
    </row>
    <row r="158" spans="1:7">
      <c r="A158" s="16">
        <v>42401</v>
      </c>
      <c r="B158">
        <v>103.62657900000001</v>
      </c>
      <c r="C158" s="1">
        <f t="shared" si="2"/>
        <v>1.2208014549239365E-2</v>
      </c>
      <c r="D158" s="28"/>
      <c r="E158" s="1"/>
      <c r="F158" s="1"/>
      <c r="G158" s="35"/>
    </row>
    <row r="159" spans="1:7">
      <c r="A159" s="16">
        <v>42430</v>
      </c>
      <c r="B159">
        <v>105.35432400000001</v>
      </c>
      <c r="C159" s="1">
        <f t="shared" si="2"/>
        <v>1.66727978157033E-2</v>
      </c>
      <c r="D159" s="28"/>
      <c r="E159" s="1"/>
      <c r="F159" s="1"/>
      <c r="G159" s="35"/>
    </row>
    <row r="160" spans="1:7">
      <c r="A160" s="16">
        <v>42461</v>
      </c>
      <c r="B160">
        <v>105.574867</v>
      </c>
      <c r="C160" s="1">
        <f t="shared" si="2"/>
        <v>2.0933454995164524E-3</v>
      </c>
      <c r="D160" s="28"/>
      <c r="E160" s="1"/>
      <c r="F160" s="1"/>
      <c r="G160" s="35">
        <v>1.9E-2</v>
      </c>
    </row>
    <row r="161" spans="1:7">
      <c r="A161" s="16">
        <v>42491</v>
      </c>
      <c r="B161">
        <v>104.89482099999999</v>
      </c>
      <c r="C161" s="1">
        <f t="shared" si="2"/>
        <v>-6.4413626019533821E-3</v>
      </c>
      <c r="D161" s="28"/>
      <c r="E161" s="1"/>
      <c r="F161" s="1"/>
      <c r="G161" s="35"/>
    </row>
    <row r="162" spans="1:7">
      <c r="A162" s="16">
        <v>42522</v>
      </c>
      <c r="B162">
        <v>107.219864</v>
      </c>
      <c r="C162" s="1">
        <f t="shared" si="2"/>
        <v>2.2165469923438819E-2</v>
      </c>
      <c r="D162" s="29"/>
      <c r="E162" s="1"/>
      <c r="F162" s="1"/>
      <c r="G162" s="35"/>
    </row>
    <row r="163" spans="1:7">
      <c r="A163" s="16">
        <v>42552</v>
      </c>
      <c r="B163">
        <v>107.465141</v>
      </c>
      <c r="C163" s="1">
        <f t="shared" si="2"/>
        <v>2.2876078261020449E-3</v>
      </c>
      <c r="D163" s="29"/>
      <c r="E163" s="1"/>
      <c r="F163" s="1"/>
      <c r="G163" s="35">
        <v>2.2000000000000002E-2</v>
      </c>
    </row>
    <row r="164" spans="1:7">
      <c r="A164" s="16">
        <v>42583</v>
      </c>
      <c r="B164">
        <v>107.14476000000001</v>
      </c>
      <c r="C164" s="1">
        <f t="shared" si="2"/>
        <v>-2.9812551029919643E-3</v>
      </c>
      <c r="D164" s="29"/>
      <c r="E164" s="1"/>
      <c r="F164" s="1"/>
      <c r="G164" s="35"/>
    </row>
    <row r="165" spans="1:7">
      <c r="A165" s="16">
        <v>42614</v>
      </c>
      <c r="B165">
        <v>107.986092</v>
      </c>
      <c r="C165" s="1">
        <f t="shared" si="2"/>
        <v>7.8522925432844559E-3</v>
      </c>
      <c r="D165" s="28"/>
      <c r="E165" s="1"/>
      <c r="F165" s="1"/>
      <c r="G165" s="35"/>
    </row>
    <row r="166" spans="1:7">
      <c r="A166" s="16">
        <v>42644</v>
      </c>
      <c r="B166">
        <v>107.790367</v>
      </c>
      <c r="C166" s="1">
        <f t="shared" si="2"/>
        <v>-1.8125019284890298E-3</v>
      </c>
      <c r="D166" s="28"/>
      <c r="E166" s="1"/>
      <c r="F166" s="1"/>
      <c r="G166" s="35">
        <v>0.02</v>
      </c>
    </row>
    <row r="167" spans="1:7">
      <c r="A167" s="16">
        <v>42675</v>
      </c>
      <c r="B167">
        <v>105.557564</v>
      </c>
      <c r="C167" s="1">
        <f t="shared" si="2"/>
        <v>-2.0714309285170152E-2</v>
      </c>
      <c r="D167" s="28"/>
      <c r="E167" s="1"/>
      <c r="F167" s="1"/>
      <c r="G167" s="35"/>
    </row>
    <row r="168" spans="1:7">
      <c r="A168" s="16">
        <v>42705</v>
      </c>
      <c r="B168">
        <v>105.28774300000001</v>
      </c>
      <c r="C168" s="1">
        <f t="shared" si="2"/>
        <v>-2.5561503105546723E-3</v>
      </c>
      <c r="D168" s="29"/>
      <c r="E168" s="1"/>
      <c r="F168" s="1"/>
      <c r="G168" s="35"/>
    </row>
    <row r="169" spans="1:7">
      <c r="A169" s="16">
        <v>42736</v>
      </c>
      <c r="B169">
        <v>106.456337</v>
      </c>
      <c r="C169" s="1">
        <f t="shared" si="2"/>
        <v>1.1099050722361836E-2</v>
      </c>
      <c r="D169" s="28"/>
      <c r="E169" s="1"/>
      <c r="F169" s="1"/>
      <c r="G169" s="35">
        <v>2.3E-2</v>
      </c>
    </row>
    <row r="170" spans="1:7">
      <c r="A170" s="16">
        <v>42767</v>
      </c>
      <c r="B170">
        <v>106.894554</v>
      </c>
      <c r="C170" s="1">
        <f t="shared" si="2"/>
        <v>4.1164012622376678E-3</v>
      </c>
      <c r="D170" s="29"/>
      <c r="E170" s="1"/>
      <c r="F170" s="1"/>
      <c r="G170" s="35"/>
    </row>
    <row r="171" spans="1:7">
      <c r="A171" s="16">
        <v>42795</v>
      </c>
      <c r="B171">
        <v>106.894554</v>
      </c>
      <c r="C171" s="1">
        <f t="shared" si="2"/>
        <v>0</v>
      </c>
      <c r="D171" s="29"/>
      <c r="E171" s="1"/>
      <c r="F171" s="1"/>
      <c r="G171" s="35"/>
    </row>
    <row r="172" spans="1:7">
      <c r="A172" s="16">
        <v>42826</v>
      </c>
      <c r="B172">
        <v>107.23020200000001</v>
      </c>
      <c r="C172" s="1">
        <f t="shared" si="2"/>
        <v>3.139991584603985E-3</v>
      </c>
      <c r="D172" s="28"/>
      <c r="E172" s="1"/>
      <c r="F172" s="1"/>
      <c r="G172" s="35">
        <v>2.2000000000000002E-2</v>
      </c>
    </row>
    <row r="173" spans="1:7">
      <c r="A173" s="16">
        <v>42856</v>
      </c>
      <c r="B173">
        <v>107.06727600000001</v>
      </c>
      <c r="C173" s="1">
        <f t="shared" si="2"/>
        <v>-1.5194040201472747E-3</v>
      </c>
      <c r="D173" s="29"/>
      <c r="E173" s="1"/>
      <c r="F173" s="1"/>
      <c r="G173" s="35"/>
    </row>
    <row r="174" spans="1:7">
      <c r="A174" s="16">
        <v>42887</v>
      </c>
      <c r="B174">
        <v>106.162392</v>
      </c>
      <c r="C174" s="1">
        <f t="shared" si="2"/>
        <v>-8.4515459233315271E-3</v>
      </c>
      <c r="D174" s="29"/>
      <c r="E174" s="1"/>
      <c r="F174" s="1"/>
      <c r="G174" s="35"/>
    </row>
    <row r="175" spans="1:7">
      <c r="A175" s="16">
        <v>42917</v>
      </c>
      <c r="B175">
        <v>106.61750000000001</v>
      </c>
      <c r="C175" s="1">
        <f t="shared" si="2"/>
        <v>4.2869041609387981E-3</v>
      </c>
      <c r="D175" s="29"/>
      <c r="E175" s="1"/>
      <c r="F175" s="1"/>
      <c r="G175" s="35">
        <v>3.2000000000000001E-2</v>
      </c>
    </row>
    <row r="176" spans="1:7">
      <c r="A176" s="16">
        <v>42948</v>
      </c>
      <c r="B176">
        <v>107.795525</v>
      </c>
      <c r="C176" s="1">
        <f t="shared" si="2"/>
        <v>1.1049077309072119E-2</v>
      </c>
      <c r="D176" s="28"/>
      <c r="E176" s="1"/>
      <c r="F176" s="1"/>
      <c r="G176" s="35"/>
    </row>
    <row r="177" spans="1:7">
      <c r="A177" s="16">
        <v>42979</v>
      </c>
      <c r="B177">
        <v>107.021782</v>
      </c>
      <c r="C177" s="1">
        <f t="shared" si="2"/>
        <v>-7.1778768181702812E-3</v>
      </c>
      <c r="D177" s="29"/>
      <c r="E177" s="1"/>
      <c r="F177" s="1"/>
      <c r="G177" s="35"/>
    </row>
    <row r="178" spans="1:7">
      <c r="A178" s="16">
        <v>43009</v>
      </c>
      <c r="B178">
        <v>107.451241</v>
      </c>
      <c r="C178" s="1">
        <f t="shared" si="2"/>
        <v>4.0128186241563668E-3</v>
      </c>
      <c r="D178" s="28"/>
      <c r="E178" s="1"/>
      <c r="F178" s="1"/>
      <c r="G178" s="35">
        <v>3.5000000000000003E-2</v>
      </c>
    </row>
    <row r="179" spans="1:7">
      <c r="A179" s="16">
        <v>43040</v>
      </c>
      <c r="B179">
        <v>107.383331</v>
      </c>
      <c r="C179" s="1">
        <f t="shared" si="2"/>
        <v>-6.3200759123849259E-4</v>
      </c>
      <c r="D179" s="28"/>
      <c r="E179" s="1"/>
      <c r="F179" s="1"/>
      <c r="G179" s="35"/>
    </row>
    <row r="180" spans="1:7">
      <c r="A180" s="16">
        <v>43070</v>
      </c>
      <c r="B180">
        <v>107.968002</v>
      </c>
      <c r="C180" s="1">
        <f t="shared" si="2"/>
        <v>5.4447091048051011E-3</v>
      </c>
      <c r="D180" s="28"/>
      <c r="E180" s="1"/>
      <c r="F180" s="1"/>
      <c r="G180" s="35"/>
    </row>
    <row r="181" spans="1:7">
      <c r="A181" s="16">
        <v>43101</v>
      </c>
      <c r="B181">
        <v>107.672539</v>
      </c>
      <c r="C181" s="1">
        <f t="shared" si="2"/>
        <v>-2.7365793061540078E-3</v>
      </c>
      <c r="D181" s="28"/>
      <c r="E181" s="1"/>
      <c r="F181" s="1"/>
      <c r="G181" s="35">
        <v>2.5000000000000001E-2</v>
      </c>
    </row>
    <row r="182" spans="1:7">
      <c r="A182" s="16">
        <v>43132</v>
      </c>
      <c r="B182">
        <v>106.539726</v>
      </c>
      <c r="C182" s="1">
        <f t="shared" si="2"/>
        <v>-1.0520909142859525E-2</v>
      </c>
      <c r="D182" s="29"/>
      <c r="E182" s="1"/>
      <c r="F182" s="1"/>
      <c r="G182" s="35"/>
    </row>
    <row r="183" spans="1:7">
      <c r="A183" s="16">
        <v>43160</v>
      </c>
      <c r="B183">
        <v>107.63539900000001</v>
      </c>
      <c r="C183" s="1">
        <f t="shared" si="2"/>
        <v>1.0284173248202411E-2</v>
      </c>
      <c r="D183" s="28"/>
      <c r="E183" s="1"/>
      <c r="F183" s="1"/>
      <c r="G183" s="35"/>
    </row>
    <row r="184" spans="1:7">
      <c r="A184" s="16">
        <v>43191</v>
      </c>
      <c r="B184">
        <v>107.216454</v>
      </c>
      <c r="C184" s="1">
        <f t="shared" si="2"/>
        <v>-3.8922603891681229E-3</v>
      </c>
      <c r="D184" s="29"/>
      <c r="E184" s="1"/>
      <c r="F184" s="1"/>
      <c r="G184" s="35">
        <v>3.5000000000000003E-2</v>
      </c>
    </row>
    <row r="185" spans="1:7">
      <c r="A185" s="16">
        <v>43221</v>
      </c>
      <c r="B185">
        <v>107.370018</v>
      </c>
      <c r="C185" s="1">
        <f t="shared" si="2"/>
        <v>1.4322801610282543E-3</v>
      </c>
      <c r="D185" s="29"/>
      <c r="E185" s="1"/>
      <c r="F185" s="1"/>
      <c r="G185" s="35"/>
    </row>
    <row r="186" spans="1:7">
      <c r="A186" s="16">
        <v>43252</v>
      </c>
      <c r="B186">
        <v>108.22185500000001</v>
      </c>
      <c r="C186" s="1">
        <f t="shared" si="2"/>
        <v>7.9336579788968908E-3</v>
      </c>
      <c r="D186" s="28"/>
      <c r="E186" s="1"/>
      <c r="F186" s="1"/>
      <c r="G186" s="35"/>
    </row>
    <row r="187" spans="1:7">
      <c r="A187" s="16">
        <v>43282</v>
      </c>
      <c r="B187">
        <v>107.55555699999999</v>
      </c>
      <c r="C187" s="1">
        <f t="shared" si="2"/>
        <v>-6.1567785915331852E-3</v>
      </c>
      <c r="D187" s="28"/>
      <c r="E187" s="1"/>
      <c r="F187" s="1"/>
      <c r="G187" s="35">
        <v>2.8999999999999998E-2</v>
      </c>
    </row>
    <row r="188" spans="1:7">
      <c r="A188" s="16">
        <v>43313</v>
      </c>
      <c r="B188">
        <v>108.209198</v>
      </c>
      <c r="C188" s="1">
        <f t="shared" si="2"/>
        <v>6.0772406208635665E-3</v>
      </c>
      <c r="D188" s="28"/>
      <c r="E188" s="1"/>
      <c r="F188" s="1"/>
      <c r="G188" s="35"/>
    </row>
    <row r="189" spans="1:7">
      <c r="A189" s="16">
        <v>43344</v>
      </c>
      <c r="B189">
        <v>107.238838</v>
      </c>
      <c r="C189" s="1">
        <f t="shared" si="2"/>
        <v>-8.9674447083509801E-3</v>
      </c>
      <c r="D189" s="28"/>
      <c r="E189" s="1"/>
      <c r="F189" s="1"/>
      <c r="G189" s="35"/>
    </row>
    <row r="190" spans="1:7">
      <c r="A190" s="16">
        <v>43374</v>
      </c>
      <c r="B190">
        <v>105.87784600000001</v>
      </c>
      <c r="C190" s="1">
        <f t="shared" si="2"/>
        <v>-1.2691222931751622E-2</v>
      </c>
      <c r="D190" s="29"/>
      <c r="E190" s="1"/>
      <c r="F190" s="1"/>
      <c r="G190" s="35">
        <v>1.1000000000000001E-2</v>
      </c>
    </row>
    <row r="191" spans="1:7">
      <c r="A191" s="16">
        <v>43405</v>
      </c>
      <c r="B191">
        <v>106.39328</v>
      </c>
      <c r="C191" s="1">
        <f t="shared" si="2"/>
        <v>4.8681949952023018E-3</v>
      </c>
      <c r="D191" s="29"/>
      <c r="E191" s="1"/>
      <c r="F191" s="1"/>
      <c r="G191" s="35"/>
    </row>
    <row r="192" spans="1:7">
      <c r="A192" s="16">
        <v>43435</v>
      </c>
      <c r="B192">
        <v>106.71618700000001</v>
      </c>
      <c r="C192" s="1">
        <f t="shared" si="2"/>
        <v>3.0350319117899982E-3</v>
      </c>
      <c r="D192" s="29"/>
      <c r="E192" s="1"/>
      <c r="F192" s="1"/>
      <c r="G192" s="35"/>
    </row>
    <row r="193" spans="1:7">
      <c r="A193" s="16">
        <v>43466</v>
      </c>
      <c r="B193">
        <v>108.573013</v>
      </c>
      <c r="C193" s="1">
        <f t="shared" si="2"/>
        <v>1.7399665900731609E-2</v>
      </c>
      <c r="D193" s="28"/>
      <c r="E193" s="1"/>
      <c r="F193" s="1"/>
      <c r="G193" s="35">
        <v>3.1E-2</v>
      </c>
    </row>
    <row r="194" spans="1:7">
      <c r="A194" s="16">
        <v>43497</v>
      </c>
      <c r="B194">
        <v>108.387299</v>
      </c>
      <c r="C194" s="1">
        <f t="shared" si="2"/>
        <v>-1.7104987221825407E-3</v>
      </c>
      <c r="D194" s="28"/>
      <c r="E194" s="1"/>
      <c r="F194" s="1"/>
      <c r="G194" s="35"/>
    </row>
    <row r="195" spans="1:7">
      <c r="A195" s="16">
        <v>43525</v>
      </c>
      <c r="B195">
        <v>110.528053</v>
      </c>
      <c r="C195" s="1">
        <f t="shared" si="2"/>
        <v>1.9750967315829149E-2</v>
      </c>
      <c r="D195" s="28"/>
      <c r="E195" s="1"/>
      <c r="F195" s="1"/>
      <c r="G195" s="35"/>
    </row>
    <row r="196" spans="1:7">
      <c r="A196" s="16">
        <v>43556</v>
      </c>
      <c r="B196">
        <v>110.77243</v>
      </c>
      <c r="C196" s="1">
        <f t="shared" si="2"/>
        <v>2.2109952484190565E-3</v>
      </c>
      <c r="D196" s="26"/>
      <c r="E196" s="1"/>
      <c r="F196" s="1"/>
      <c r="G196" s="35">
        <v>0.02</v>
      </c>
    </row>
    <row r="197" spans="1:7">
      <c r="A197" s="16">
        <v>43586</v>
      </c>
      <c r="B197">
        <v>112.678596</v>
      </c>
      <c r="C197" s="1">
        <f t="shared" si="2"/>
        <v>1.7207946056613466E-2</v>
      </c>
      <c r="D197" s="26"/>
      <c r="E197" s="1"/>
      <c r="F197" s="1"/>
      <c r="G197" s="35"/>
    </row>
    <row r="198" spans="1:7">
      <c r="A198" s="16">
        <v>43617</v>
      </c>
      <c r="B198">
        <v>112.92852000000001</v>
      </c>
      <c r="C198" s="1">
        <f t="shared" si="2"/>
        <v>2.2180255068140475E-3</v>
      </c>
      <c r="D198" s="26"/>
      <c r="E198" s="1"/>
      <c r="F198" s="1"/>
      <c r="G198" s="35"/>
    </row>
    <row r="199" spans="1:7">
      <c r="A199" s="16">
        <v>43647</v>
      </c>
      <c r="B199">
        <v>113.312225</v>
      </c>
      <c r="C199" s="1">
        <f t="shared" si="2"/>
        <v>3.3977687832975612E-3</v>
      </c>
      <c r="D199" s="26"/>
      <c r="E199" s="1"/>
      <c r="F199" s="1"/>
      <c r="G199" s="35">
        <v>2.1000000000000001E-2</v>
      </c>
    </row>
    <row r="200" spans="1:7">
      <c r="A200" s="16">
        <v>43678</v>
      </c>
      <c r="B200">
        <v>116.29818</v>
      </c>
      <c r="C200" s="1">
        <f t="shared" si="2"/>
        <v>2.6351569744570869E-2</v>
      </c>
      <c r="D200" s="26"/>
      <c r="E200" s="1"/>
      <c r="F200" s="1"/>
      <c r="G200" s="35"/>
    </row>
    <row r="201" spans="1:7">
      <c r="A201" s="16">
        <v>43709</v>
      </c>
      <c r="B201">
        <v>115.223778</v>
      </c>
      <c r="C201" s="1">
        <f t="shared" si="2"/>
        <v>-9.2383388974789371E-3</v>
      </c>
      <c r="D201" s="26"/>
      <c r="E201" s="1"/>
      <c r="F201" s="1"/>
      <c r="G201" s="35"/>
    </row>
    <row r="202" spans="1:7">
      <c r="A202" s="16">
        <v>43739</v>
      </c>
      <c r="B202">
        <v>115.053596</v>
      </c>
      <c r="C202" s="1">
        <f t="shared" si="2"/>
        <v>-1.4769694498300012E-3</v>
      </c>
      <c r="D202" s="26"/>
      <c r="E202" s="1"/>
      <c r="F202" s="1"/>
      <c r="G202" s="35">
        <v>2.3E-2</v>
      </c>
    </row>
    <row r="203" spans="1:7">
      <c r="A203" s="16">
        <v>43770</v>
      </c>
      <c r="B203">
        <v>115.56559</v>
      </c>
      <c r="C203" s="1">
        <f t="shared" si="2"/>
        <v>4.4500477846862729E-3</v>
      </c>
      <c r="D203" s="26"/>
      <c r="E203" s="1"/>
      <c r="F203" s="1"/>
      <c r="G203" s="35"/>
    </row>
    <row r="204" spans="1:7">
      <c r="A204" s="16">
        <v>43800</v>
      </c>
      <c r="B204">
        <v>115.774216</v>
      </c>
      <c r="C204" s="1">
        <f t="shared" si="2"/>
        <v>1.805260545115539E-3</v>
      </c>
      <c r="D204" s="26"/>
      <c r="E204" s="1"/>
      <c r="F204" s="1"/>
      <c r="G204" s="35"/>
    </row>
    <row r="205" spans="1:7">
      <c r="A205" s="16">
        <v>43831</v>
      </c>
      <c r="B205">
        <v>118.463753</v>
      </c>
      <c r="C205" s="1">
        <f t="shared" si="2"/>
        <v>2.3230880699723233E-2</v>
      </c>
      <c r="D205" s="26"/>
      <c r="E205" s="1"/>
      <c r="F205" s="1"/>
      <c r="G205" s="35">
        <v>-4.8000000000000001E-2</v>
      </c>
    </row>
    <row r="206" spans="1:7">
      <c r="A206" s="16">
        <v>43862</v>
      </c>
      <c r="B206">
        <v>119.428894</v>
      </c>
      <c r="C206" s="1">
        <f t="shared" si="2"/>
        <v>8.1471418519047933E-3</v>
      </c>
      <c r="D206" s="26"/>
      <c r="E206" s="1"/>
      <c r="F206" s="1"/>
      <c r="G206" s="35"/>
    </row>
    <row r="207" spans="1:7">
      <c r="A207" s="16">
        <v>43891</v>
      </c>
      <c r="B207">
        <v>117.454758</v>
      </c>
      <c r="C207" s="1">
        <f>(B207/B206)-1</f>
        <v>-1.6529802243668068E-2</v>
      </c>
      <c r="D207" s="26"/>
      <c r="E207" s="1"/>
      <c r="F207" s="1"/>
      <c r="G207" s="35"/>
    </row>
    <row r="208" spans="1:7">
      <c r="A208" s="16">
        <v>43922</v>
      </c>
      <c r="B208">
        <v>120.83137499999999</v>
      </c>
      <c r="C208" s="1">
        <f>(B208/B207)-1</f>
        <v>2.8748235128967625E-2</v>
      </c>
      <c r="D208" s="26"/>
      <c r="E208" s="1"/>
      <c r="F208" s="1"/>
      <c r="G208" s="35"/>
    </row>
    <row r="209" spans="1:7">
      <c r="A209" s="16">
        <v>43952</v>
      </c>
      <c r="B209">
        <v>121.500793</v>
      </c>
      <c r="C209" s="1">
        <f>(B209/B208)-1</f>
        <v>5.5401008223237014E-3</v>
      </c>
      <c r="D209" s="26"/>
      <c r="E209" s="1"/>
      <c r="F209" s="1"/>
      <c r="G209" s="35"/>
    </row>
  </sheetData>
  <conditionalFormatting sqref="C1:C10">
    <cfRule type="cellIs" dxfId="53" priority="17" operator="lessThan">
      <formula>0</formula>
    </cfRule>
    <cfRule type="cellIs" dxfId="52" priority="18" operator="greaterThan">
      <formula>0</formula>
    </cfRule>
  </conditionalFormatting>
  <conditionalFormatting sqref="E1:F10">
    <cfRule type="cellIs" dxfId="51" priority="15" operator="lessThan">
      <formula>0</formula>
    </cfRule>
    <cfRule type="cellIs" dxfId="50" priority="16" operator="greaterThan">
      <formula>0</formula>
    </cfRule>
  </conditionalFormatting>
  <conditionalFormatting sqref="G1:G10">
    <cfRule type="cellIs" dxfId="49" priority="13" operator="lessThan">
      <formula>0</formula>
    </cfRule>
    <cfRule type="cellIs" dxfId="48" priority="14" operator="greaterThan">
      <formula>0</formula>
    </cfRule>
  </conditionalFormatting>
  <conditionalFormatting sqref="C12:C209">
    <cfRule type="cellIs" dxfId="47" priority="11" operator="lessThan">
      <formula>0</formula>
    </cfRule>
    <cfRule type="cellIs" dxfId="46" priority="12" operator="greaterThan">
      <formula>0</formula>
    </cfRule>
  </conditionalFormatting>
  <conditionalFormatting sqref="E12:F209">
    <cfRule type="cellIs" dxfId="45" priority="9" operator="lessThan">
      <formula>0</formula>
    </cfRule>
    <cfRule type="cellIs" dxfId="44" priority="10" operator="greaterThan">
      <formula>0</formula>
    </cfRule>
  </conditionalFormatting>
  <conditionalFormatting sqref="G12:G13 G168:G209">
    <cfRule type="cellIs" dxfId="43" priority="7" operator="lessThan">
      <formula>0</formula>
    </cfRule>
    <cfRule type="cellIs" dxfId="42" priority="8" operator="greaterThan">
      <formula>0</formula>
    </cfRule>
  </conditionalFormatting>
  <conditionalFormatting sqref="G140:G167">
    <cfRule type="cellIs" dxfId="41" priority="5" operator="lessThan">
      <formula>0</formula>
    </cfRule>
    <cfRule type="cellIs" dxfId="40" priority="6" operator="greaterThan">
      <formula>0</formula>
    </cfRule>
  </conditionalFormatting>
  <conditionalFormatting sqref="G14:G139">
    <cfRule type="cellIs" dxfId="39" priority="3" operator="lessThan">
      <formula>0</formula>
    </cfRule>
    <cfRule type="cellIs" dxfId="38" priority="4" operator="greaterThan">
      <formula>0</formula>
    </cfRule>
  </conditionalFormatting>
  <conditionalFormatting sqref="M44:M47">
    <cfRule type="cellIs" dxfId="37" priority="1" operator="lessThan">
      <formula>0</formula>
    </cfRule>
    <cfRule type="cellIs" dxfId="36"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81A5F-2931-6D44-AB3E-957BF8CB3464}">
  <dimension ref="A1:Y209"/>
  <sheetViews>
    <sheetView zoomScale="150" workbookViewId="0">
      <pane ySplit="11" topLeftCell="A12" activePane="bottomLeft" state="frozen"/>
      <selection pane="bottomLeft" activeCell="A9" sqref="A9"/>
    </sheetView>
  </sheetViews>
  <sheetFormatPr baseColWidth="10" defaultRowHeight="16"/>
  <cols>
    <col min="10" max="10" width="27" bestFit="1" customWidth="1"/>
    <col min="11" max="11" width="16.3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3.5000000000000001E-3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235</v>
      </c>
      <c r="B3" t="s">
        <v>242</v>
      </c>
      <c r="C3" s="1"/>
      <c r="E3" s="1"/>
      <c r="F3" s="1"/>
      <c r="G3" s="9" t="s">
        <v>13</v>
      </c>
      <c r="H3" s="9">
        <f>SUBTOTAL(1,C13:C241)</f>
        <v>5.2563207229349906E-3</v>
      </c>
      <c r="J3" s="3" t="s">
        <v>14</v>
      </c>
      <c r="K3" s="10">
        <v>2.9773501517722841E-2</v>
      </c>
      <c r="L3" s="3">
        <v>86</v>
      </c>
      <c r="M3" s="9">
        <f>L3/$K$38</f>
        <v>0.56209150326797386</v>
      </c>
      <c r="N3" s="10">
        <f>K3*M3</f>
        <v>1.6735432225648134E-2</v>
      </c>
      <c r="P3" s="4" t="s">
        <v>15</v>
      </c>
      <c r="Q3" s="11">
        <f>$K$26+$K$30</f>
        <v>9.9547850659377629E-2</v>
      </c>
      <c r="R3" s="11">
        <f>$K$26+$K$30*2</f>
        <v>0.19383938059582029</v>
      </c>
      <c r="S3" s="11">
        <f>$K$26+$K$30*3</f>
        <v>0.28813091053226292</v>
      </c>
      <c r="T3" s="6"/>
      <c r="U3" s="5">
        <v>1</v>
      </c>
      <c r="V3" s="5">
        <v>151</v>
      </c>
      <c r="W3" s="12">
        <f>Y3*$K$38</f>
        <v>104.346</v>
      </c>
      <c r="X3" s="13">
        <f>V3/$K$38</f>
        <v>0.98692810457516345</v>
      </c>
      <c r="Y3" s="13">
        <v>0.68200000000000005</v>
      </c>
    </row>
    <row r="4" spans="1:25">
      <c r="A4" t="s">
        <v>243</v>
      </c>
      <c r="C4" s="1"/>
      <c r="E4" s="1"/>
      <c r="F4" s="1"/>
      <c r="G4" s="9" t="s">
        <v>16</v>
      </c>
      <c r="H4" s="14">
        <f>SUBTOTAL(2,C13:C241)</f>
        <v>153</v>
      </c>
      <c r="J4" s="3" t="s">
        <v>17</v>
      </c>
      <c r="K4" s="10">
        <v>-2.6213493431568813E-2</v>
      </c>
      <c r="L4" s="3">
        <v>67</v>
      </c>
      <c r="M4" s="9">
        <f>L4/$K$38</f>
        <v>0.43790849673202614</v>
      </c>
      <c r="N4" s="10">
        <f>K4*M4</f>
        <v>-1.147911150271314E-2</v>
      </c>
      <c r="P4" s="4" t="s">
        <v>18</v>
      </c>
      <c r="Q4" s="11">
        <f>$K$26-$K$30</f>
        <v>-8.903520921350766E-2</v>
      </c>
      <c r="R4" s="11">
        <f>$K$26-$K$30*2</f>
        <v>-0.18332673914995029</v>
      </c>
      <c r="S4" s="11">
        <f>$K$26-$K$30*3</f>
        <v>-0.27761826908639298</v>
      </c>
      <c r="T4" s="6"/>
      <c r="U4" s="5">
        <v>2</v>
      </c>
      <c r="V4" s="5">
        <v>0</v>
      </c>
      <c r="W4" s="12">
        <f t="shared" ref="W4:W5" si="0">Y4*$K$38</f>
        <v>145.96199999999999</v>
      </c>
      <c r="X4" s="13">
        <f t="shared" ref="X4:X5" si="1">V4/$K$38</f>
        <v>0</v>
      </c>
      <c r="Y4" s="13">
        <v>0.95399999999999996</v>
      </c>
    </row>
    <row r="5" spans="1:25">
      <c r="A5" t="s">
        <v>244</v>
      </c>
      <c r="C5" s="1"/>
      <c r="E5" s="1"/>
      <c r="F5" s="1"/>
      <c r="G5" s="1"/>
      <c r="J5" s="3" t="s">
        <v>19</v>
      </c>
      <c r="K5" s="3"/>
      <c r="L5" s="27">
        <f>$K$38-L4-$L$3</f>
        <v>0</v>
      </c>
      <c r="M5" s="3"/>
      <c r="N5" s="3"/>
      <c r="P5" s="6"/>
      <c r="Q5" s="6"/>
      <c r="R5" s="6"/>
      <c r="S5" s="6"/>
      <c r="T5" s="6"/>
      <c r="U5" s="5">
        <v>3</v>
      </c>
      <c r="V5" s="5">
        <v>0</v>
      </c>
      <c r="W5" s="12">
        <f t="shared" si="0"/>
        <v>152.69399999999999</v>
      </c>
      <c r="X5" s="13">
        <f t="shared" si="1"/>
        <v>0</v>
      </c>
      <c r="Y5" s="13">
        <v>0.998</v>
      </c>
    </row>
    <row r="6" spans="1:25">
      <c r="A6" t="s">
        <v>245</v>
      </c>
      <c r="C6" s="1"/>
      <c r="E6" s="1"/>
      <c r="F6" s="1"/>
      <c r="G6" s="1"/>
    </row>
    <row r="7" spans="1:25">
      <c r="A7" t="s">
        <v>248</v>
      </c>
      <c r="C7" s="1"/>
      <c r="E7" s="1"/>
      <c r="F7" s="1"/>
      <c r="G7" s="1"/>
      <c r="P7" s="6"/>
      <c r="Q7" s="6"/>
      <c r="R7" s="6"/>
      <c r="S7" s="6"/>
      <c r="T7" s="6"/>
      <c r="U7" s="6"/>
      <c r="V7" s="6"/>
      <c r="W7" s="6"/>
      <c r="X7" s="6"/>
      <c r="Y7" s="6"/>
    </row>
    <row r="8" spans="1:25">
      <c r="A8" t="s">
        <v>256</v>
      </c>
      <c r="C8" s="1"/>
      <c r="E8" s="1"/>
      <c r="F8" s="1"/>
      <c r="G8" s="1"/>
      <c r="P8" s="6"/>
      <c r="Q8" s="6"/>
      <c r="R8" s="6"/>
      <c r="S8" s="6"/>
      <c r="T8" s="6"/>
      <c r="U8" s="6"/>
      <c r="V8" s="6"/>
      <c r="W8" s="6"/>
      <c r="X8" s="6"/>
      <c r="Y8" s="6"/>
    </row>
    <row r="9" spans="1:25">
      <c r="A9" t="s">
        <v>257</v>
      </c>
      <c r="C9" s="1" t="s">
        <v>258</v>
      </c>
      <c r="E9" s="1"/>
      <c r="F9" s="1"/>
      <c r="G9" s="1"/>
    </row>
    <row r="10" spans="1:25">
      <c r="C10" s="1"/>
      <c r="E10" s="1"/>
      <c r="F10" s="1"/>
      <c r="G10" s="1"/>
    </row>
    <row r="11" spans="1:25">
      <c r="A11" s="15" t="s">
        <v>20</v>
      </c>
      <c r="B11" s="15" t="s">
        <v>21</v>
      </c>
      <c r="C11" s="15" t="s">
        <v>22</v>
      </c>
      <c r="D11" s="15"/>
      <c r="E11" s="15"/>
      <c r="F11" s="15"/>
      <c r="G11" s="15"/>
    </row>
    <row r="12" spans="1:25">
      <c r="A12" s="16">
        <v>39356</v>
      </c>
      <c r="B12" s="17">
        <v>22.314599999999999</v>
      </c>
      <c r="D12" s="29"/>
      <c r="E12" s="1"/>
      <c r="F12" s="1"/>
      <c r="G12" s="2"/>
      <c r="J12" s="3" t="s">
        <v>27</v>
      </c>
      <c r="K12" s="43" t="s">
        <v>27</v>
      </c>
      <c r="L12" s="18" t="s">
        <v>29</v>
      </c>
      <c r="M12" s="43" t="s">
        <v>3</v>
      </c>
    </row>
    <row r="13" spans="1:25">
      <c r="A13" s="16">
        <v>39387</v>
      </c>
      <c r="B13" s="17">
        <v>22.675663</v>
      </c>
      <c r="C13" s="1">
        <f>(B13/B12)-1</f>
        <v>1.6180572360696699E-2</v>
      </c>
      <c r="D13" s="29"/>
      <c r="E13" s="1"/>
      <c r="F13" s="1"/>
      <c r="G13" s="35"/>
      <c r="J13" s="10">
        <v>-0.08</v>
      </c>
      <c r="K13" s="44">
        <v>-0.08</v>
      </c>
      <c r="L13" s="3" t="s">
        <v>163</v>
      </c>
      <c r="M13" s="45">
        <v>1</v>
      </c>
    </row>
    <row r="14" spans="1:25">
      <c r="A14" s="16">
        <v>39417</v>
      </c>
      <c r="B14" s="17">
        <v>22.611315000000001</v>
      </c>
      <c r="C14" s="1">
        <f t="shared" ref="C14:C77" si="2">(B14/B13)-1</f>
        <v>-2.8377560559088577E-3</v>
      </c>
      <c r="D14" s="28"/>
      <c r="E14" s="1"/>
      <c r="F14" s="1"/>
      <c r="G14" s="35"/>
      <c r="J14" s="10">
        <v>-0.06</v>
      </c>
      <c r="K14" s="44">
        <v>-0.06</v>
      </c>
      <c r="L14" s="21" t="s">
        <v>164</v>
      </c>
      <c r="M14" s="45">
        <v>2</v>
      </c>
    </row>
    <row r="15" spans="1:25">
      <c r="A15" s="16">
        <v>39448</v>
      </c>
      <c r="B15" s="17">
        <v>23.199079999999999</v>
      </c>
      <c r="C15" s="1">
        <f t="shared" si="2"/>
        <v>2.5994286488866258E-2</v>
      </c>
      <c r="D15" s="28"/>
      <c r="E15" s="1"/>
      <c r="F15" s="1"/>
      <c r="G15" s="35"/>
      <c r="J15" s="10">
        <v>-0.04</v>
      </c>
      <c r="K15" s="44">
        <v>-0.04</v>
      </c>
      <c r="L15" s="21" t="s">
        <v>165</v>
      </c>
      <c r="M15" s="45">
        <v>8</v>
      </c>
    </row>
    <row r="16" spans="1:25">
      <c r="A16" s="16">
        <v>39479</v>
      </c>
      <c r="B16" s="17">
        <v>23.857935000000001</v>
      </c>
      <c r="C16" s="1">
        <f t="shared" si="2"/>
        <v>2.8400048622617913E-2</v>
      </c>
      <c r="D16" s="29"/>
      <c r="E16" s="1"/>
      <c r="F16" s="1"/>
      <c r="G16" s="35"/>
      <c r="J16" s="10">
        <v>-0.02</v>
      </c>
      <c r="K16" s="44">
        <v>-0.02</v>
      </c>
      <c r="L16" s="21" t="s">
        <v>166</v>
      </c>
      <c r="M16" s="45">
        <v>13</v>
      </c>
    </row>
    <row r="17" spans="1:14">
      <c r="A17" s="16">
        <v>39508</v>
      </c>
      <c r="B17" s="17">
        <v>24.543108</v>
      </c>
      <c r="C17" s="1">
        <f t="shared" si="2"/>
        <v>2.8718872777547588E-2</v>
      </c>
      <c r="D17" s="29"/>
      <c r="E17" s="1"/>
      <c r="F17" s="1"/>
      <c r="G17" s="35"/>
      <c r="J17" s="10">
        <v>0</v>
      </c>
      <c r="K17" s="44">
        <v>0</v>
      </c>
      <c r="L17" s="21" t="s">
        <v>167</v>
      </c>
      <c r="M17" s="45">
        <v>43</v>
      </c>
    </row>
    <row r="18" spans="1:14">
      <c r="A18" s="16">
        <v>39539</v>
      </c>
      <c r="B18" s="17">
        <v>23.967741</v>
      </c>
      <c r="C18" s="1">
        <f t="shared" si="2"/>
        <v>-2.3443118939948437E-2</v>
      </c>
      <c r="D18" s="29"/>
      <c r="E18" s="1"/>
      <c r="F18" s="1"/>
      <c r="G18" s="35"/>
      <c r="J18" s="10">
        <v>0.02</v>
      </c>
      <c r="K18" s="44">
        <v>0.02</v>
      </c>
      <c r="L18" s="3" t="s">
        <v>168</v>
      </c>
      <c r="M18" s="45">
        <v>55</v>
      </c>
    </row>
    <row r="19" spans="1:14">
      <c r="A19" s="16">
        <v>39569</v>
      </c>
      <c r="B19" s="17">
        <v>23.595901000000001</v>
      </c>
      <c r="C19" s="1">
        <f t="shared" si="2"/>
        <v>-1.5514186339046221E-2</v>
      </c>
      <c r="D19" s="28"/>
      <c r="E19" s="1"/>
      <c r="F19" s="1"/>
      <c r="G19" s="35"/>
      <c r="J19" s="10">
        <v>0.04</v>
      </c>
      <c r="K19" s="44">
        <v>0.04</v>
      </c>
      <c r="L19" s="3" t="s">
        <v>169</v>
      </c>
      <c r="M19" s="45">
        <v>24</v>
      </c>
    </row>
    <row r="20" spans="1:14">
      <c r="A20" s="16">
        <v>39600</v>
      </c>
      <c r="B20" s="17">
        <v>23.498774999999998</v>
      </c>
      <c r="C20" s="1">
        <f t="shared" si="2"/>
        <v>-4.1162234067689818E-3</v>
      </c>
      <c r="D20" s="29"/>
      <c r="E20" s="1"/>
      <c r="F20" s="1"/>
      <c r="G20" s="35"/>
      <c r="J20" s="10">
        <v>0.06</v>
      </c>
      <c r="K20" s="44">
        <v>0.06</v>
      </c>
      <c r="L20" s="3" t="s">
        <v>170</v>
      </c>
      <c r="M20" s="45">
        <v>4</v>
      </c>
    </row>
    <row r="21" spans="1:14">
      <c r="A21" s="16">
        <v>39630</v>
      </c>
      <c r="B21" s="17">
        <v>23.843418</v>
      </c>
      <c r="C21" s="1">
        <f t="shared" si="2"/>
        <v>1.4666424100830744E-2</v>
      </c>
      <c r="D21" s="28"/>
      <c r="E21" s="1"/>
      <c r="F21" s="1"/>
      <c r="G21" s="35"/>
      <c r="J21" s="10">
        <v>0.08</v>
      </c>
      <c r="K21" s="44">
        <v>0.08</v>
      </c>
      <c r="L21" s="3" t="s">
        <v>171</v>
      </c>
      <c r="M21" s="45">
        <v>1</v>
      </c>
    </row>
    <row r="22" spans="1:14">
      <c r="A22" s="16">
        <v>39661</v>
      </c>
      <c r="B22" s="17">
        <v>22.832832</v>
      </c>
      <c r="C22" s="1">
        <f t="shared" si="2"/>
        <v>-4.2384275610149569E-2</v>
      </c>
      <c r="D22" s="28"/>
      <c r="E22" s="1"/>
      <c r="F22" s="1"/>
      <c r="G22" s="35"/>
      <c r="J22" s="3"/>
      <c r="K22" s="45" t="s">
        <v>37</v>
      </c>
      <c r="L22" s="3" t="s">
        <v>172</v>
      </c>
      <c r="M22" s="45">
        <v>2</v>
      </c>
    </row>
    <row r="23" spans="1:14">
      <c r="A23" s="16">
        <v>39692</v>
      </c>
      <c r="B23" s="17">
        <v>22.289871000000002</v>
      </c>
      <c r="C23" s="1">
        <f t="shared" si="2"/>
        <v>-2.3779835983552045E-2</v>
      </c>
      <c r="D23" s="29"/>
      <c r="E23" s="1"/>
      <c r="F23" s="1"/>
      <c r="G23" s="35"/>
    </row>
    <row r="24" spans="1:14">
      <c r="A24" s="16">
        <v>39722</v>
      </c>
      <c r="B24" s="17">
        <v>21.183285000000001</v>
      </c>
      <c r="C24" s="1">
        <f t="shared" si="2"/>
        <v>-4.9645240207984997E-2</v>
      </c>
      <c r="D24" s="29"/>
      <c r="E24" s="1"/>
      <c r="F24" s="1"/>
      <c r="G24" s="35"/>
    </row>
    <row r="25" spans="1:14">
      <c r="A25" s="16">
        <v>39753</v>
      </c>
      <c r="B25" s="17">
        <v>21.734643999999999</v>
      </c>
      <c r="C25" s="1">
        <f t="shared" si="2"/>
        <v>2.6028021621764319E-2</v>
      </c>
      <c r="D25" s="29"/>
      <c r="E25" s="1"/>
      <c r="F25" s="1"/>
      <c r="G25" s="35"/>
      <c r="J25" s="23" t="s">
        <v>255</v>
      </c>
    </row>
    <row r="26" spans="1:14">
      <c r="A26" s="16">
        <v>39783</v>
      </c>
      <c r="B26" s="17">
        <v>23.566662000000001</v>
      </c>
      <c r="C26" s="1">
        <f t="shared" si="2"/>
        <v>8.4290223479160709E-2</v>
      </c>
      <c r="D26" s="29"/>
      <c r="E26" s="1"/>
      <c r="F26" s="1"/>
      <c r="G26" s="35"/>
      <c r="J26" s="3" t="s">
        <v>40</v>
      </c>
      <c r="K26" s="24">
        <v>5.2563207229349906E-3</v>
      </c>
      <c r="M26" s="74"/>
      <c r="N26" s="74"/>
    </row>
    <row r="27" spans="1:14">
      <c r="A27" s="16">
        <v>39814</v>
      </c>
      <c r="B27" s="17">
        <v>22.085184000000002</v>
      </c>
      <c r="C27" s="1">
        <f t="shared" si="2"/>
        <v>-6.2863293919181218E-2</v>
      </c>
      <c r="D27" s="29"/>
      <c r="E27" s="1"/>
      <c r="F27" s="1"/>
      <c r="G27" s="35"/>
      <c r="J27" s="3" t="s">
        <v>41</v>
      </c>
      <c r="K27" s="24">
        <v>7.623018382922407E-3</v>
      </c>
      <c r="M27" s="73"/>
      <c r="N27" s="73"/>
    </row>
    <row r="28" spans="1:14">
      <c r="A28" s="16">
        <v>39845</v>
      </c>
      <c r="B28" s="17">
        <v>21.297512000000001</v>
      </c>
      <c r="C28" s="1">
        <f t="shared" si="2"/>
        <v>-3.5665177161304129E-2</v>
      </c>
      <c r="D28" s="29"/>
      <c r="E28" s="1"/>
      <c r="F28" s="1"/>
      <c r="G28" s="35"/>
      <c r="J28" s="3" t="s">
        <v>42</v>
      </c>
      <c r="K28" s="24">
        <v>3.0348475506942751E-3</v>
      </c>
      <c r="M28" s="73"/>
      <c r="N28" s="73"/>
    </row>
    <row r="29" spans="1:14">
      <c r="A29" s="16">
        <v>39873</v>
      </c>
      <c r="B29" s="17">
        <v>22.312891</v>
      </c>
      <c r="C29" s="1">
        <f t="shared" si="2"/>
        <v>4.7675944495300548E-2</v>
      </c>
      <c r="D29" s="28"/>
      <c r="E29" s="1"/>
      <c r="F29" s="1"/>
      <c r="G29" s="35"/>
      <c r="J29" s="3" t="s">
        <v>43</v>
      </c>
      <c r="K29" s="3" t="e">
        <v>#N/A</v>
      </c>
      <c r="M29" s="73"/>
      <c r="N29" s="73"/>
    </row>
    <row r="30" spans="1:14">
      <c r="A30" s="16">
        <v>39904</v>
      </c>
      <c r="B30" s="17">
        <v>22.563803</v>
      </c>
      <c r="C30" s="1">
        <f t="shared" si="2"/>
        <v>1.1245158684278111E-2</v>
      </c>
      <c r="D30" s="29"/>
      <c r="E30" s="1"/>
      <c r="F30" s="1"/>
      <c r="G30" s="35"/>
      <c r="J30" s="3" t="s">
        <v>44</v>
      </c>
      <c r="K30" s="24">
        <v>9.4291529936442645E-2</v>
      </c>
      <c r="M30" s="73" t="s">
        <v>358</v>
      </c>
      <c r="N30" s="73"/>
    </row>
    <row r="31" spans="1:14">
      <c r="A31" s="16">
        <v>39934</v>
      </c>
      <c r="B31" s="17">
        <v>23.774849</v>
      </c>
      <c r="C31" s="1">
        <f t="shared" si="2"/>
        <v>5.3672069375893861E-2</v>
      </c>
      <c r="D31" s="29"/>
      <c r="E31" s="1"/>
      <c r="F31" s="1"/>
      <c r="G31" s="35"/>
      <c r="J31" s="3" t="s">
        <v>45</v>
      </c>
      <c r="K31" s="24">
        <v>8.8908926177550598E-3</v>
      </c>
      <c r="M31" s="73"/>
      <c r="N31" s="73"/>
    </row>
    <row r="32" spans="1:14">
      <c r="A32" s="16">
        <v>39965</v>
      </c>
      <c r="B32" s="17">
        <v>23.897258999999998</v>
      </c>
      <c r="C32" s="1">
        <f t="shared" si="2"/>
        <v>5.148718294698762E-3</v>
      </c>
      <c r="D32" s="28"/>
      <c r="E32" s="1"/>
      <c r="F32" s="1"/>
      <c r="G32" s="35"/>
      <c r="J32" s="3" t="s">
        <v>46</v>
      </c>
      <c r="K32" s="25">
        <v>90.186542527423768</v>
      </c>
      <c r="M32" s="73"/>
      <c r="N32" s="73"/>
    </row>
    <row r="33" spans="1:15">
      <c r="A33" s="16">
        <v>39995</v>
      </c>
      <c r="B33" s="17">
        <v>24.644856999999998</v>
      </c>
      <c r="C33" s="1">
        <f t="shared" si="2"/>
        <v>3.1283838870390879E-2</v>
      </c>
      <c r="D33" s="28"/>
      <c r="E33" s="1"/>
      <c r="F33" s="1"/>
      <c r="G33" s="35"/>
      <c r="J33" s="3" t="s">
        <v>47</v>
      </c>
      <c r="K33" s="25">
        <v>6.9804447592528467</v>
      </c>
      <c r="M33" s="73"/>
      <c r="N33" s="73"/>
    </row>
    <row r="34" spans="1:15">
      <c r="A34" s="16">
        <v>40026</v>
      </c>
      <c r="B34" s="17">
        <v>24.832861000000001</v>
      </c>
      <c r="C34" s="1">
        <f t="shared" si="2"/>
        <v>7.6285287433399684E-3</v>
      </c>
      <c r="D34" s="28"/>
      <c r="E34" s="1"/>
      <c r="F34" s="1"/>
      <c r="G34" s="35"/>
      <c r="J34" s="3" t="s">
        <v>48</v>
      </c>
      <c r="K34" s="24">
        <v>1.5085713557751548</v>
      </c>
      <c r="M34" s="73"/>
      <c r="N34" s="73"/>
    </row>
    <row r="35" spans="1:15">
      <c r="A35" s="16">
        <v>40057</v>
      </c>
      <c r="B35" s="17">
        <v>25.545483000000001</v>
      </c>
      <c r="C35" s="1">
        <f t="shared" si="2"/>
        <v>2.869673373519066E-2</v>
      </c>
      <c r="D35" s="29"/>
      <c r="E35" s="1"/>
      <c r="F35" s="1"/>
      <c r="G35" s="35"/>
      <c r="J35" s="3" t="s">
        <v>49</v>
      </c>
      <c r="K35" s="24">
        <v>-0.50047977287404133</v>
      </c>
      <c r="M35" s="73"/>
      <c r="N35" s="73"/>
    </row>
    <row r="36" spans="1:15">
      <c r="A36" s="16">
        <v>40087</v>
      </c>
      <c r="B36" s="17">
        <v>25.576096</v>
      </c>
      <c r="C36" s="1">
        <f t="shared" si="2"/>
        <v>1.1983723306385752E-3</v>
      </c>
      <c r="D36" s="28"/>
      <c r="E36" s="1"/>
      <c r="F36" s="1"/>
      <c r="G36" s="35"/>
      <c r="J36" s="3" t="s">
        <v>50</v>
      </c>
      <c r="K36" s="24">
        <v>1.0080915829011134</v>
      </c>
      <c r="M36" s="73"/>
      <c r="N36" s="73"/>
    </row>
    <row r="37" spans="1:15">
      <c r="A37" s="16">
        <v>40118</v>
      </c>
      <c r="B37" s="17">
        <v>26.349941000000001</v>
      </c>
      <c r="C37" s="1">
        <f t="shared" si="2"/>
        <v>3.0256572386966329E-2</v>
      </c>
      <c r="D37" s="28"/>
      <c r="E37" s="1"/>
      <c r="F37" s="1"/>
      <c r="G37" s="35"/>
      <c r="J37" s="3" t="s">
        <v>51</v>
      </c>
      <c r="K37" s="25">
        <v>0.80421707060905356</v>
      </c>
      <c r="M37" s="73"/>
      <c r="N37" s="73"/>
    </row>
    <row r="38" spans="1:15">
      <c r="A38" s="16">
        <v>40148</v>
      </c>
      <c r="B38" s="17">
        <v>24.845977999999999</v>
      </c>
      <c r="C38" s="1">
        <f t="shared" si="2"/>
        <v>-5.7076522486331327E-2</v>
      </c>
      <c r="D38" s="28"/>
      <c r="E38" s="1"/>
      <c r="F38" s="1"/>
      <c r="G38" s="35"/>
      <c r="J38" s="3" t="s">
        <v>16</v>
      </c>
      <c r="K38" s="3">
        <v>153</v>
      </c>
      <c r="M38" s="73"/>
      <c r="N38" s="73"/>
    </row>
    <row r="39" spans="1:15">
      <c r="A39" s="16">
        <v>40179</v>
      </c>
      <c r="B39" s="17">
        <v>24.594570000000001</v>
      </c>
      <c r="C39" s="1">
        <f t="shared" si="2"/>
        <v>-1.0118659849090994E-2</v>
      </c>
      <c r="D39" s="29"/>
      <c r="E39" s="1"/>
      <c r="F39" s="1"/>
      <c r="G39" s="35"/>
      <c r="M39" s="73"/>
      <c r="N39" s="73"/>
    </row>
    <row r="40" spans="1:15">
      <c r="A40" s="16">
        <v>40210</v>
      </c>
      <c r="B40" s="17">
        <v>24.581389999999999</v>
      </c>
      <c r="C40" s="1">
        <f t="shared" si="2"/>
        <v>-5.3589064578085654E-4</v>
      </c>
      <c r="D40" s="28"/>
      <c r="E40" s="1"/>
      <c r="F40" s="1"/>
      <c r="G40" s="35"/>
      <c r="M40" s="73"/>
      <c r="N40" s="73"/>
    </row>
    <row r="41" spans="1:15">
      <c r="A41" s="16">
        <v>40238</v>
      </c>
      <c r="B41" s="17">
        <v>24.649618</v>
      </c>
      <c r="C41" s="1">
        <f t="shared" si="2"/>
        <v>2.7755956843775742E-3</v>
      </c>
      <c r="D41" s="28"/>
      <c r="E41" s="1"/>
      <c r="F41" s="1"/>
      <c r="G41" s="35"/>
      <c r="M41" s="72"/>
      <c r="N41" s="72"/>
    </row>
    <row r="42" spans="1:15">
      <c r="A42" s="16">
        <v>40269</v>
      </c>
      <c r="B42" s="17">
        <v>24.292835</v>
      </c>
      <c r="C42" s="1">
        <f t="shared" si="2"/>
        <v>-1.447417968099951E-2</v>
      </c>
      <c r="D42" s="29"/>
      <c r="E42" s="1"/>
      <c r="F42" s="1"/>
      <c r="G42" s="35"/>
    </row>
    <row r="43" spans="1:15">
      <c r="A43" s="16">
        <v>40299</v>
      </c>
      <c r="B43" s="17">
        <v>23.407450000000001</v>
      </c>
      <c r="C43" s="1">
        <f t="shared" si="2"/>
        <v>-3.6446343129568848E-2</v>
      </c>
      <c r="D43" s="29"/>
      <c r="E43" s="1"/>
      <c r="F43" s="1"/>
      <c r="G43" s="35"/>
      <c r="J43" s="3" t="s">
        <v>75</v>
      </c>
      <c r="K43" s="3" t="s">
        <v>254</v>
      </c>
      <c r="L43" s="3" t="s">
        <v>54</v>
      </c>
      <c r="M43" s="3" t="s">
        <v>55</v>
      </c>
      <c r="O43" t="s">
        <v>355</v>
      </c>
    </row>
    <row r="44" spans="1:15">
      <c r="A44" s="16">
        <v>40330</v>
      </c>
      <c r="B44" s="17">
        <v>23.676155000000001</v>
      </c>
      <c r="C44" s="1">
        <f t="shared" si="2"/>
        <v>1.1479464871226863E-2</v>
      </c>
      <c r="D44" s="28"/>
      <c r="E44" s="1"/>
      <c r="F44" s="1"/>
      <c r="G44" s="35"/>
      <c r="J44" s="3" t="s">
        <v>56</v>
      </c>
      <c r="K44" s="9">
        <v>2.6499999999999999E-2</v>
      </c>
      <c r="L44" s="9">
        <v>8.4599999999999995E-2</v>
      </c>
      <c r="M44" s="9">
        <f>K44-L44</f>
        <v>-5.8099999999999999E-2</v>
      </c>
      <c r="O44" t="s">
        <v>356</v>
      </c>
    </row>
    <row r="45" spans="1:15">
      <c r="A45" s="16">
        <v>40360</v>
      </c>
      <c r="B45" s="17">
        <v>25.120949</v>
      </c>
      <c r="C45" s="1">
        <f t="shared" si="2"/>
        <v>6.1023168669068095E-2</v>
      </c>
      <c r="D45" s="29"/>
      <c r="E45" s="1"/>
      <c r="F45" s="1"/>
      <c r="G45" s="35"/>
      <c r="J45" s="3" t="s">
        <v>57</v>
      </c>
      <c r="K45" s="9">
        <v>2.0799999999999999E-2</v>
      </c>
      <c r="L45" s="9">
        <v>2.5999999999999999E-3</v>
      </c>
      <c r="M45" s="9">
        <f>K45-L45</f>
        <v>1.8200000000000001E-2</v>
      </c>
      <c r="O45" t="s">
        <v>357</v>
      </c>
    </row>
    <row r="46" spans="1:15">
      <c r="A46" s="16">
        <v>40391</v>
      </c>
      <c r="B46" s="17">
        <v>25.552637000000001</v>
      </c>
      <c r="C46" s="1">
        <f t="shared" si="2"/>
        <v>1.7184382644142904E-2</v>
      </c>
      <c r="D46" s="29"/>
      <c r="E46" s="1"/>
      <c r="F46" s="1"/>
      <c r="G46" s="35"/>
      <c r="J46" s="3" t="s">
        <v>58</v>
      </c>
      <c r="K46" s="9">
        <v>2.2499999999999999E-2</v>
      </c>
      <c r="L46" s="9">
        <v>7.1000000000000004E-3</v>
      </c>
      <c r="M46" s="9">
        <f>K46-L46</f>
        <v>1.5399999999999999E-2</v>
      </c>
    </row>
    <row r="47" spans="1:15">
      <c r="A47" s="16">
        <v>40422</v>
      </c>
      <c r="B47" s="17">
        <v>26.411581000000002</v>
      </c>
      <c r="C47" s="1">
        <f t="shared" si="2"/>
        <v>3.3614691117789475E-2</v>
      </c>
      <c r="D47" s="29"/>
      <c r="E47" s="1"/>
      <c r="F47" s="1"/>
      <c r="G47" s="35"/>
      <c r="J47" s="3" t="s">
        <v>59</v>
      </c>
      <c r="K47" s="9">
        <v>1.9400000000000001E-2</v>
      </c>
      <c r="L47" s="9">
        <v>0</v>
      </c>
      <c r="M47" s="9">
        <f>K47-L47</f>
        <v>1.9400000000000001E-2</v>
      </c>
    </row>
    <row r="48" spans="1:15">
      <c r="A48" s="16">
        <v>40452</v>
      </c>
      <c r="B48" s="17">
        <v>26.975398999999999</v>
      </c>
      <c r="C48" s="1">
        <f t="shared" si="2"/>
        <v>2.1347377879423313E-2</v>
      </c>
      <c r="D48" s="28"/>
      <c r="E48" s="1"/>
      <c r="F48" s="1"/>
      <c r="G48" s="35"/>
    </row>
    <row r="49" spans="1:11">
      <c r="A49" s="16">
        <v>40483</v>
      </c>
      <c r="B49" s="17">
        <v>25.129750999999999</v>
      </c>
      <c r="C49" s="1">
        <f t="shared" si="2"/>
        <v>-6.841967379240621E-2</v>
      </c>
      <c r="D49" s="29"/>
      <c r="E49" s="1"/>
      <c r="F49" s="1"/>
      <c r="G49" s="35"/>
    </row>
    <row r="50" spans="1:11">
      <c r="A50" s="16">
        <v>40513</v>
      </c>
      <c r="B50" s="17">
        <v>25.750837000000001</v>
      </c>
      <c r="C50" s="1">
        <f t="shared" si="2"/>
        <v>2.4715167293142049E-2</v>
      </c>
      <c r="D50" s="28"/>
      <c r="E50" s="1"/>
      <c r="F50" s="1"/>
      <c r="G50" s="35"/>
      <c r="J50" s="23" t="s">
        <v>77</v>
      </c>
      <c r="K50" s="3"/>
    </row>
    <row r="51" spans="1:11">
      <c r="A51" s="16">
        <v>40544</v>
      </c>
      <c r="B51" s="17">
        <v>26.128214</v>
      </c>
      <c r="C51" s="1">
        <f t="shared" si="2"/>
        <v>1.4654941119001341E-2</v>
      </c>
      <c r="D51" s="28"/>
      <c r="E51" s="1"/>
      <c r="F51" s="1"/>
      <c r="G51" s="35"/>
      <c r="J51" s="3" t="s">
        <v>249</v>
      </c>
      <c r="K51" s="9">
        <v>1.7600000000000001E-2</v>
      </c>
    </row>
    <row r="52" spans="1:11">
      <c r="A52" s="16">
        <v>40575</v>
      </c>
      <c r="B52" s="17">
        <v>26.301102</v>
      </c>
      <c r="C52" s="1">
        <f t="shared" si="2"/>
        <v>6.6169084499996256E-3</v>
      </c>
      <c r="D52" s="29"/>
      <c r="E52" s="1"/>
      <c r="F52" s="1"/>
      <c r="G52" s="35"/>
      <c r="J52" s="3" t="s">
        <v>250</v>
      </c>
      <c r="K52" s="9">
        <v>7.4000000000000003E-3</v>
      </c>
    </row>
    <row r="53" spans="1:11">
      <c r="A53" s="16">
        <v>40603</v>
      </c>
      <c r="B53" s="17">
        <v>26.522755</v>
      </c>
      <c r="C53" s="1">
        <f t="shared" si="2"/>
        <v>8.4275175998329566E-3</v>
      </c>
      <c r="D53" s="28"/>
      <c r="E53" s="1"/>
      <c r="F53" s="1"/>
      <c r="G53" s="35"/>
      <c r="J53" s="3" t="s">
        <v>251</v>
      </c>
      <c r="K53" s="9">
        <v>6.8999999999999999E-3</v>
      </c>
    </row>
    <row r="54" spans="1:11">
      <c r="A54" s="16">
        <v>40634</v>
      </c>
      <c r="B54" s="17">
        <v>27.817198000000001</v>
      </c>
      <c r="C54" s="1">
        <f t="shared" si="2"/>
        <v>4.8804997821681795E-2</v>
      </c>
      <c r="D54" s="28"/>
      <c r="E54" s="1"/>
      <c r="F54" s="1"/>
      <c r="G54" s="35"/>
      <c r="J54" s="3" t="s">
        <v>252</v>
      </c>
      <c r="K54" s="9">
        <v>6.1999999999999998E-3</v>
      </c>
    </row>
    <row r="55" spans="1:11">
      <c r="A55" s="16">
        <v>40664</v>
      </c>
      <c r="B55" s="17">
        <v>27.440382</v>
      </c>
      <c r="C55" s="1">
        <f t="shared" si="2"/>
        <v>-1.3546152276012857E-2</v>
      </c>
      <c r="D55" s="28"/>
      <c r="E55" s="1"/>
      <c r="F55" s="1"/>
      <c r="G55" s="35"/>
      <c r="J55" s="3" t="s">
        <v>253</v>
      </c>
      <c r="K55" s="9">
        <v>5.8999999999999999E-3</v>
      </c>
    </row>
    <row r="56" spans="1:11">
      <c r="A56" s="16">
        <v>40695</v>
      </c>
      <c r="B56" s="17">
        <v>27.382743999999999</v>
      </c>
      <c r="C56" s="1">
        <f t="shared" si="2"/>
        <v>-2.1004809626922194E-3</v>
      </c>
      <c r="D56" s="29"/>
      <c r="E56" s="1"/>
      <c r="F56" s="1"/>
      <c r="G56" s="35"/>
    </row>
    <row r="57" spans="1:11">
      <c r="A57" s="16">
        <v>40725</v>
      </c>
      <c r="B57" s="17">
        <v>27.833054000000001</v>
      </c>
      <c r="C57" s="1">
        <f t="shared" si="2"/>
        <v>1.6445028299574505E-2</v>
      </c>
      <c r="D57" s="28"/>
      <c r="E57" s="1"/>
      <c r="F57" s="1"/>
      <c r="G57" s="35"/>
    </row>
    <row r="58" spans="1:11">
      <c r="A58" s="16">
        <v>40756</v>
      </c>
      <c r="B58" s="17">
        <v>28.098676999999999</v>
      </c>
      <c r="C58" s="1">
        <f t="shared" si="2"/>
        <v>9.5434370946141378E-3</v>
      </c>
      <c r="D58" s="29"/>
      <c r="E58" s="1"/>
      <c r="F58" s="1"/>
      <c r="G58" s="35"/>
    </row>
    <row r="59" spans="1:11">
      <c r="A59" s="16">
        <v>40787</v>
      </c>
      <c r="B59" s="17">
        <v>26.841888000000001</v>
      </c>
      <c r="C59" s="1">
        <f t="shared" si="2"/>
        <v>-4.4727693051170969E-2</v>
      </c>
      <c r="D59" s="29"/>
      <c r="E59" s="1"/>
      <c r="F59" s="1"/>
      <c r="G59" s="35"/>
    </row>
    <row r="60" spans="1:11">
      <c r="A60" s="16">
        <v>40817</v>
      </c>
      <c r="B60" s="17">
        <v>27.413938999999999</v>
      </c>
      <c r="C60" s="1">
        <f t="shared" si="2"/>
        <v>2.1311876422403619E-2</v>
      </c>
      <c r="D60" s="29"/>
      <c r="E60" s="1"/>
      <c r="F60" s="1"/>
      <c r="G60" s="35"/>
    </row>
    <row r="61" spans="1:11">
      <c r="A61" s="16">
        <v>40848</v>
      </c>
      <c r="B61" s="17">
        <v>26.642772999999998</v>
      </c>
      <c r="C61" s="1">
        <f t="shared" si="2"/>
        <v>-2.8130433937275545E-2</v>
      </c>
      <c r="D61" s="29"/>
      <c r="E61" s="1"/>
      <c r="F61" s="1"/>
      <c r="G61" s="35"/>
    </row>
    <row r="62" spans="1:11">
      <c r="A62" s="16">
        <v>40878</v>
      </c>
      <c r="B62" s="17">
        <v>26.628187</v>
      </c>
      <c r="C62" s="1">
        <f t="shared" si="2"/>
        <v>-5.4746553596340952E-4</v>
      </c>
      <c r="D62" s="29"/>
      <c r="E62" s="1"/>
      <c r="F62" s="1"/>
      <c r="G62" s="35"/>
      <c r="J62" t="s">
        <v>60</v>
      </c>
      <c r="K62" t="s">
        <v>180</v>
      </c>
    </row>
    <row r="63" spans="1:11">
      <c r="A63" s="16">
        <v>40909</v>
      </c>
      <c r="B63" s="17">
        <v>27.677923</v>
      </c>
      <c r="C63" s="1">
        <f t="shared" si="2"/>
        <v>3.9421985432203765E-2</v>
      </c>
      <c r="D63" s="28"/>
      <c r="E63" s="1"/>
      <c r="F63" s="1"/>
      <c r="G63" s="35"/>
      <c r="J63" t="s">
        <v>61</v>
      </c>
    </row>
    <row r="64" spans="1:11">
      <c r="A64" s="16">
        <v>40940</v>
      </c>
      <c r="B64" s="17">
        <v>27.705390999999999</v>
      </c>
      <c r="C64" s="1">
        <f t="shared" si="2"/>
        <v>9.9241550747852791E-4</v>
      </c>
      <c r="D64" s="29"/>
      <c r="E64" s="1"/>
      <c r="F64" s="1"/>
      <c r="G64" s="35"/>
      <c r="J64" t="s">
        <v>62</v>
      </c>
    </row>
    <row r="65" spans="1:7">
      <c r="A65" s="16">
        <v>40969</v>
      </c>
      <c r="B65" s="17">
        <v>27.492156999999999</v>
      </c>
      <c r="C65" s="1">
        <f t="shared" si="2"/>
        <v>-7.6964804431022271E-3</v>
      </c>
      <c r="D65" s="29"/>
      <c r="E65" s="1"/>
      <c r="F65" s="1"/>
      <c r="G65" s="35"/>
    </row>
    <row r="66" spans="1:7">
      <c r="A66" s="16">
        <v>41000</v>
      </c>
      <c r="B66" s="17">
        <v>27.791269</v>
      </c>
      <c r="C66" s="1">
        <f t="shared" si="2"/>
        <v>1.0879902948320863E-2</v>
      </c>
      <c r="D66" s="28"/>
      <c r="E66" s="1"/>
      <c r="F66" s="1"/>
      <c r="G66" s="35"/>
    </row>
    <row r="67" spans="1:7">
      <c r="A67" s="16">
        <v>41030</v>
      </c>
      <c r="B67" s="17">
        <v>26.980067999999999</v>
      </c>
      <c r="C67" s="1">
        <f t="shared" si="2"/>
        <v>-2.9189059340903101E-2</v>
      </c>
      <c r="D67" s="28"/>
      <c r="E67" s="1"/>
      <c r="F67" s="1"/>
      <c r="G67" s="35"/>
    </row>
    <row r="68" spans="1:7">
      <c r="A68" s="16">
        <v>41061</v>
      </c>
      <c r="B68" s="17">
        <v>27.246948</v>
      </c>
      <c r="C68" s="1">
        <f t="shared" si="2"/>
        <v>9.8917467517132263E-3</v>
      </c>
      <c r="D68" s="29"/>
      <c r="E68" s="1"/>
      <c r="F68" s="1"/>
      <c r="G68" s="35"/>
    </row>
    <row r="69" spans="1:7">
      <c r="A69" s="16">
        <v>41091</v>
      </c>
      <c r="B69" s="17">
        <v>27.609734</v>
      </c>
      <c r="C69" s="1">
        <f t="shared" si="2"/>
        <v>1.3314738957185268E-2</v>
      </c>
      <c r="D69" s="29"/>
      <c r="E69" s="1"/>
      <c r="F69" s="1"/>
      <c r="G69" s="35"/>
    </row>
    <row r="70" spans="1:7">
      <c r="A70" s="16">
        <v>41122</v>
      </c>
      <c r="B70" s="17">
        <v>27.950085000000001</v>
      </c>
      <c r="C70" s="1">
        <f t="shared" si="2"/>
        <v>1.2327210396159582E-2</v>
      </c>
      <c r="D70" s="29"/>
      <c r="E70" s="1"/>
      <c r="F70" s="1"/>
      <c r="G70" s="35"/>
    </row>
    <row r="71" spans="1:7">
      <c r="A71" s="16">
        <v>41153</v>
      </c>
      <c r="B71" s="17">
        <v>28.520098000000001</v>
      </c>
      <c r="C71" s="1">
        <f t="shared" si="2"/>
        <v>2.0393963023725981E-2</v>
      </c>
      <c r="D71" s="28"/>
      <c r="E71" s="1"/>
      <c r="F71" s="1"/>
      <c r="G71" s="35"/>
    </row>
    <row r="72" spans="1:7">
      <c r="A72" s="16">
        <v>41183</v>
      </c>
      <c r="B72" s="17">
        <v>28.382840999999999</v>
      </c>
      <c r="C72" s="1">
        <f t="shared" si="2"/>
        <v>-4.8126412468849633E-3</v>
      </c>
      <c r="D72" s="28"/>
      <c r="E72" s="1"/>
      <c r="F72" s="1"/>
      <c r="G72" s="35"/>
    </row>
    <row r="73" spans="1:7">
      <c r="A73" s="16">
        <v>41214</v>
      </c>
      <c r="B73" s="17">
        <v>28.423431000000001</v>
      </c>
      <c r="C73" s="1">
        <f t="shared" si="2"/>
        <v>1.4300893980274676E-3</v>
      </c>
      <c r="D73" s="28"/>
      <c r="E73" s="1"/>
      <c r="F73" s="1"/>
      <c r="G73" s="35"/>
    </row>
    <row r="74" spans="1:7">
      <c r="A74" s="16">
        <v>41244</v>
      </c>
      <c r="B74" s="17">
        <v>28.316680999999999</v>
      </c>
      <c r="C74" s="1">
        <f t="shared" si="2"/>
        <v>-3.7557042286696651E-3</v>
      </c>
      <c r="D74" s="28"/>
      <c r="E74" s="1"/>
      <c r="F74" s="1"/>
      <c r="G74" s="35"/>
    </row>
    <row r="75" spans="1:7">
      <c r="A75" s="16">
        <v>41275</v>
      </c>
      <c r="B75" s="17">
        <v>28.199757000000002</v>
      </c>
      <c r="C75" s="1">
        <f t="shared" si="2"/>
        <v>-4.1291562383316549E-3</v>
      </c>
      <c r="D75" s="28"/>
      <c r="E75" s="1"/>
      <c r="F75" s="1"/>
      <c r="G75" s="35"/>
    </row>
    <row r="76" spans="1:7">
      <c r="A76" s="16">
        <v>41306</v>
      </c>
      <c r="B76" s="17">
        <v>27.467224000000002</v>
      </c>
      <c r="C76" s="1">
        <f t="shared" si="2"/>
        <v>-2.5976571358398592E-2</v>
      </c>
      <c r="D76" s="28"/>
      <c r="E76" s="1"/>
      <c r="F76" s="1"/>
      <c r="G76" s="35"/>
    </row>
    <row r="77" spans="1:7">
      <c r="A77" s="16">
        <v>41334</v>
      </c>
      <c r="B77" s="17">
        <v>27.339842000000001</v>
      </c>
      <c r="C77" s="1">
        <f t="shared" si="2"/>
        <v>-4.6376000719985377E-3</v>
      </c>
      <c r="D77" s="28"/>
      <c r="E77" s="1"/>
      <c r="F77" s="1"/>
      <c r="G77" s="35"/>
    </row>
    <row r="78" spans="1:7">
      <c r="A78" s="16">
        <v>41365</v>
      </c>
      <c r="B78" s="17">
        <v>28.120156999999999</v>
      </c>
      <c r="C78" s="1">
        <f t="shared" ref="C78:C141" si="3">(B78/B77)-1</f>
        <v>2.8541313442850047E-2</v>
      </c>
      <c r="D78" s="28"/>
      <c r="E78" s="1"/>
      <c r="F78" s="1"/>
      <c r="G78" s="35"/>
    </row>
    <row r="79" spans="1:7">
      <c r="A79" s="16">
        <v>41395</v>
      </c>
      <c r="B79" s="17">
        <v>26.910381000000001</v>
      </c>
      <c r="C79" s="1">
        <f t="shared" si="3"/>
        <v>-4.3021665917441276E-2</v>
      </c>
      <c r="D79" s="29"/>
      <c r="E79" s="1"/>
      <c r="F79" s="1"/>
      <c r="G79" s="35"/>
    </row>
    <row r="80" spans="1:7">
      <c r="A80" s="16">
        <v>41426</v>
      </c>
      <c r="B80" s="17">
        <v>26.428999000000001</v>
      </c>
      <c r="C80" s="1">
        <f t="shared" si="3"/>
        <v>-1.7888338333076792E-2</v>
      </c>
      <c r="D80" s="28"/>
      <c r="E80" s="1"/>
      <c r="F80" s="1"/>
      <c r="G80" s="35"/>
    </row>
    <row r="81" spans="1:7">
      <c r="A81" s="16">
        <v>41456</v>
      </c>
      <c r="B81" s="17">
        <v>27.064564000000001</v>
      </c>
      <c r="C81" s="1">
        <f t="shared" si="3"/>
        <v>2.4048016347497647E-2</v>
      </c>
      <c r="D81" s="28"/>
      <c r="E81" s="1"/>
      <c r="F81" s="1"/>
      <c r="G81" s="35"/>
    </row>
    <row r="82" spans="1:7">
      <c r="A82" s="16">
        <v>41487</v>
      </c>
      <c r="B82" s="17">
        <v>26.771519000000001</v>
      </c>
      <c r="C82" s="1">
        <f t="shared" si="3"/>
        <v>-1.0827626855544392E-2</v>
      </c>
      <c r="D82" s="29"/>
      <c r="E82" s="1"/>
      <c r="F82" s="1"/>
      <c r="G82" s="35"/>
    </row>
    <row r="83" spans="1:7">
      <c r="A83" s="16">
        <v>41518</v>
      </c>
      <c r="B83" s="17">
        <v>27.504992999999999</v>
      </c>
      <c r="C83" s="1">
        <f t="shared" si="3"/>
        <v>2.7397548865269794E-2</v>
      </c>
      <c r="D83" s="29"/>
      <c r="E83" s="1"/>
      <c r="F83" s="1"/>
      <c r="G83" s="35"/>
    </row>
    <row r="84" spans="1:7">
      <c r="A84" s="16">
        <v>41548</v>
      </c>
      <c r="B84" s="17">
        <v>27.828973999999999</v>
      </c>
      <c r="C84" s="1">
        <f t="shared" si="3"/>
        <v>1.1778988636717669E-2</v>
      </c>
      <c r="D84" s="28"/>
      <c r="E84" s="1"/>
      <c r="F84" s="1"/>
      <c r="G84" s="35"/>
    </row>
    <row r="85" spans="1:7">
      <c r="A85" s="16">
        <v>41579</v>
      </c>
      <c r="B85" s="17">
        <v>27.452351</v>
      </c>
      <c r="C85" s="1">
        <f t="shared" si="3"/>
        <v>-1.3533484921147254E-2</v>
      </c>
      <c r="D85" s="29"/>
      <c r="E85" s="1"/>
      <c r="F85" s="1"/>
      <c r="G85" s="35"/>
    </row>
    <row r="86" spans="1:7">
      <c r="A86" s="16">
        <v>41609</v>
      </c>
      <c r="B86" s="17">
        <v>27.346336000000001</v>
      </c>
      <c r="C86" s="1">
        <f t="shared" si="3"/>
        <v>-3.8617821839739275E-3</v>
      </c>
      <c r="D86" s="28"/>
      <c r="E86" s="1"/>
      <c r="F86" s="1"/>
      <c r="G86" s="35"/>
    </row>
    <row r="87" spans="1:7">
      <c r="A87" s="16">
        <v>41640</v>
      </c>
      <c r="B87" s="17">
        <v>27.568853000000001</v>
      </c>
      <c r="C87" s="1">
        <f t="shared" si="3"/>
        <v>8.136995025585847E-3</v>
      </c>
      <c r="D87" s="28"/>
      <c r="E87" s="1"/>
      <c r="F87" s="1"/>
      <c r="G87" s="35"/>
    </row>
    <row r="88" spans="1:7">
      <c r="A88" s="16">
        <v>41671</v>
      </c>
      <c r="B88" s="17">
        <v>28.177263</v>
      </c>
      <c r="C88" s="1">
        <f t="shared" si="3"/>
        <v>2.2068745478819762E-2</v>
      </c>
      <c r="D88" s="28"/>
      <c r="E88" s="1"/>
      <c r="F88" s="1"/>
      <c r="G88" s="35"/>
    </row>
    <row r="89" spans="1:7">
      <c r="A89" s="16">
        <v>41699</v>
      </c>
      <c r="B89" s="17">
        <v>28.232099999999999</v>
      </c>
      <c r="C89" s="1">
        <f t="shared" si="3"/>
        <v>1.9461435981202868E-3</v>
      </c>
      <c r="D89" s="28"/>
      <c r="E89" s="1"/>
      <c r="F89" s="1"/>
      <c r="G89" s="35"/>
    </row>
    <row r="90" spans="1:7">
      <c r="A90" s="16">
        <v>41730</v>
      </c>
      <c r="B90" s="17">
        <v>28.510228999999999</v>
      </c>
      <c r="C90" s="1">
        <f t="shared" si="3"/>
        <v>9.8515165361414692E-3</v>
      </c>
      <c r="D90" s="29"/>
      <c r="E90" s="1"/>
      <c r="F90" s="1"/>
      <c r="G90" s="35"/>
    </row>
    <row r="91" spans="1:7">
      <c r="A91" s="16">
        <v>41760</v>
      </c>
      <c r="B91" s="17">
        <v>28.571669</v>
      </c>
      <c r="C91" s="1">
        <f t="shared" si="3"/>
        <v>2.1550160119725437E-3</v>
      </c>
      <c r="D91" s="28"/>
      <c r="E91" s="1"/>
      <c r="F91" s="1"/>
      <c r="G91" s="35"/>
    </row>
    <row r="92" spans="1:7">
      <c r="A92" s="16">
        <v>41791</v>
      </c>
      <c r="B92" s="17">
        <v>29.028032</v>
      </c>
      <c r="C92" s="1">
        <f t="shared" si="3"/>
        <v>1.5972570590818469E-2</v>
      </c>
      <c r="D92" s="29"/>
      <c r="E92" s="1"/>
      <c r="F92" s="1"/>
      <c r="G92" s="35"/>
    </row>
    <row r="93" spans="1:7">
      <c r="A93" s="16">
        <v>41821</v>
      </c>
      <c r="B93" s="17">
        <v>28.620394000000001</v>
      </c>
      <c r="C93" s="1">
        <f t="shared" si="3"/>
        <v>-1.404290859263202E-2</v>
      </c>
      <c r="D93" s="28"/>
      <c r="E93" s="1"/>
      <c r="F93" s="1"/>
      <c r="G93" s="35"/>
    </row>
    <row r="94" spans="1:7">
      <c r="A94" s="16">
        <v>41852</v>
      </c>
      <c r="B94" s="17">
        <v>28.724125000000001</v>
      </c>
      <c r="C94" s="1">
        <f t="shared" si="3"/>
        <v>3.6243735847940606E-3</v>
      </c>
      <c r="D94" s="28"/>
      <c r="E94" s="1"/>
      <c r="F94" s="1"/>
      <c r="G94" s="35"/>
    </row>
    <row r="95" spans="1:7">
      <c r="A95" s="16">
        <v>41883</v>
      </c>
      <c r="B95" s="17">
        <v>27.446753000000001</v>
      </c>
      <c r="C95" s="1">
        <f t="shared" si="3"/>
        <v>-4.4470353753160441E-2</v>
      </c>
      <c r="D95" s="28"/>
      <c r="E95" s="1"/>
      <c r="F95" s="1"/>
      <c r="G95" s="35"/>
    </row>
    <row r="96" spans="1:7">
      <c r="A96" s="16">
        <v>41913</v>
      </c>
      <c r="B96" s="17">
        <v>27.386412</v>
      </c>
      <c r="C96" s="1">
        <f t="shared" si="3"/>
        <v>-2.1984749890087141E-3</v>
      </c>
      <c r="D96" s="29"/>
      <c r="E96" s="1"/>
      <c r="F96" s="1"/>
      <c r="G96" s="35"/>
    </row>
    <row r="97" spans="1:7">
      <c r="A97" s="16">
        <v>41944</v>
      </c>
      <c r="B97" s="17">
        <v>27.031131999999999</v>
      </c>
      <c r="C97" s="1">
        <f t="shared" si="3"/>
        <v>-1.2972856758307727E-2</v>
      </c>
      <c r="D97" s="29"/>
      <c r="E97" s="1"/>
      <c r="F97" s="1"/>
      <c r="G97" s="35"/>
    </row>
    <row r="98" spans="1:7">
      <c r="A98" s="16">
        <v>41974</v>
      </c>
      <c r="B98" s="17">
        <v>26.532753</v>
      </c>
      <c r="C98" s="1">
        <f t="shared" si="3"/>
        <v>-1.8437222680870335E-2</v>
      </c>
      <c r="D98" s="29"/>
      <c r="E98" s="1"/>
      <c r="F98" s="1"/>
      <c r="G98" s="35"/>
    </row>
    <row r="99" spans="1:7">
      <c r="A99" s="16">
        <v>42005</v>
      </c>
      <c r="B99" s="17">
        <v>26.331882</v>
      </c>
      <c r="C99" s="1">
        <f t="shared" si="3"/>
        <v>-7.5706806602390264E-3</v>
      </c>
      <c r="D99" s="29"/>
      <c r="E99" s="1"/>
      <c r="F99" s="1"/>
      <c r="G99" s="35"/>
    </row>
    <row r="100" spans="1:7">
      <c r="A100" s="16">
        <v>42036</v>
      </c>
      <c r="B100" s="17">
        <v>26.046602</v>
      </c>
      <c r="C100" s="1">
        <f t="shared" si="3"/>
        <v>-1.08340148265893E-2</v>
      </c>
      <c r="D100" s="28"/>
      <c r="E100" s="1"/>
      <c r="F100" s="1"/>
      <c r="G100" s="35"/>
    </row>
    <row r="101" spans="1:7">
      <c r="A101" s="16">
        <v>42064</v>
      </c>
      <c r="B101" s="17">
        <v>25.683973000000002</v>
      </c>
      <c r="C101" s="1">
        <f t="shared" si="3"/>
        <v>-1.3922315087395942E-2</v>
      </c>
      <c r="D101" s="29"/>
      <c r="E101" s="1"/>
      <c r="F101" s="1"/>
      <c r="G101" s="35"/>
    </row>
    <row r="102" spans="1:7">
      <c r="A102" s="16">
        <v>42095</v>
      </c>
      <c r="B102" s="17">
        <v>26.186827000000001</v>
      </c>
      <c r="C102" s="1">
        <f t="shared" si="3"/>
        <v>1.9578513028338795E-2</v>
      </c>
      <c r="D102" s="29"/>
      <c r="E102" s="1"/>
      <c r="F102" s="1"/>
      <c r="G102" s="35"/>
    </row>
    <row r="103" spans="1:7">
      <c r="A103" s="16">
        <v>42125</v>
      </c>
      <c r="B103" s="17">
        <v>25.340675000000001</v>
      </c>
      <c r="C103" s="1">
        <f t="shared" si="3"/>
        <v>-3.231212395453642E-2</v>
      </c>
      <c r="D103" s="28"/>
      <c r="E103" s="1"/>
      <c r="F103" s="1"/>
      <c r="G103" s="35"/>
    </row>
    <row r="104" spans="1:7">
      <c r="A104" s="16">
        <v>42156</v>
      </c>
      <c r="B104" s="17">
        <v>25.152111000000001</v>
      </c>
      <c r="C104" s="1">
        <f t="shared" si="3"/>
        <v>-7.4411593219201322E-3</v>
      </c>
      <c r="D104" s="29"/>
      <c r="E104" s="1"/>
      <c r="F104" s="1"/>
      <c r="G104" s="35"/>
    </row>
    <row r="105" spans="1:7">
      <c r="A105" s="16">
        <v>42186</v>
      </c>
      <c r="B105" s="17">
        <v>25.098921000000001</v>
      </c>
      <c r="C105" s="1">
        <f t="shared" si="3"/>
        <v>-2.1147330337402126E-3</v>
      </c>
      <c r="D105" s="28"/>
      <c r="E105" s="1"/>
      <c r="F105" s="1"/>
      <c r="G105" s="35"/>
    </row>
    <row r="106" spans="1:7">
      <c r="A106" s="75">
        <v>42217</v>
      </c>
      <c r="B106" s="17">
        <v>50.400931999999997</v>
      </c>
      <c r="C106" s="1">
        <f>(B106/B105)-1</f>
        <v>1.0080915829011134</v>
      </c>
      <c r="D106" s="29"/>
      <c r="E106" s="1"/>
      <c r="F106" s="1"/>
      <c r="G106" s="35"/>
    </row>
    <row r="107" spans="1:7">
      <c r="A107" s="16">
        <v>42248</v>
      </c>
      <c r="B107" s="17">
        <v>25.176285</v>
      </c>
      <c r="C107" s="1">
        <f t="shared" si="3"/>
        <v>-0.50047977287404133</v>
      </c>
      <c r="D107" s="29"/>
      <c r="E107" s="1"/>
      <c r="F107" s="1"/>
      <c r="G107" s="35"/>
    </row>
    <row r="108" spans="1:7">
      <c r="A108" s="16">
        <v>42278</v>
      </c>
      <c r="B108" s="17">
        <v>25.282651999999999</v>
      </c>
      <c r="C108" s="1">
        <f t="shared" si="3"/>
        <v>4.2248886203821723E-3</v>
      </c>
      <c r="D108" s="28"/>
      <c r="E108" s="1"/>
      <c r="F108" s="1"/>
      <c r="G108" s="35"/>
    </row>
    <row r="109" spans="1:7">
      <c r="A109" s="16">
        <v>42309</v>
      </c>
      <c r="B109" s="17">
        <v>24.673438999999998</v>
      </c>
      <c r="C109" s="1">
        <f t="shared" si="3"/>
        <v>-2.4096087704723379E-2</v>
      </c>
      <c r="D109" s="29"/>
      <c r="E109" s="1"/>
      <c r="F109" s="1"/>
      <c r="G109" s="35"/>
    </row>
    <row r="110" spans="1:7">
      <c r="A110" s="16">
        <v>42339</v>
      </c>
      <c r="B110" s="17">
        <v>24.963543000000001</v>
      </c>
      <c r="C110" s="1">
        <f t="shared" si="3"/>
        <v>1.1757744836461637E-2</v>
      </c>
      <c r="D110" s="29"/>
      <c r="E110" s="1"/>
      <c r="F110" s="1"/>
      <c r="G110" s="35"/>
    </row>
    <row r="111" spans="1:7">
      <c r="A111" s="16">
        <v>42370</v>
      </c>
      <c r="B111" s="17">
        <v>25.036066000000002</v>
      </c>
      <c r="C111" s="1">
        <f t="shared" si="3"/>
        <v>2.9051565316671191E-3</v>
      </c>
      <c r="D111" s="28"/>
      <c r="E111" s="1"/>
      <c r="F111" s="1"/>
      <c r="G111" s="35"/>
    </row>
    <row r="112" spans="1:7">
      <c r="A112" s="16">
        <v>42401</v>
      </c>
      <c r="B112" s="17">
        <v>25.862870999999998</v>
      </c>
      <c r="C112" s="1">
        <f t="shared" si="3"/>
        <v>3.3024557452436598E-2</v>
      </c>
      <c r="D112" s="29"/>
      <c r="E112" s="1"/>
      <c r="F112" s="1"/>
      <c r="G112" s="35"/>
    </row>
    <row r="113" spans="1:7">
      <c r="A113" s="16">
        <v>42430</v>
      </c>
      <c r="B113" s="17">
        <v>26.950763999999999</v>
      </c>
      <c r="C113" s="1">
        <f t="shared" si="3"/>
        <v>4.206389151459633E-2</v>
      </c>
      <c r="D113" s="29"/>
      <c r="E113" s="1"/>
      <c r="F113" s="1"/>
      <c r="G113" s="35"/>
    </row>
    <row r="114" spans="1:7">
      <c r="A114" s="16">
        <v>42461</v>
      </c>
      <c r="B114" s="17">
        <v>27.361746</v>
      </c>
      <c r="C114" s="1">
        <f t="shared" si="3"/>
        <v>1.5249363617298561E-2</v>
      </c>
      <c r="D114" s="29"/>
      <c r="E114" s="1"/>
      <c r="F114" s="1"/>
      <c r="G114" s="35"/>
    </row>
    <row r="115" spans="1:7">
      <c r="A115" s="16">
        <v>42491</v>
      </c>
      <c r="B115" s="17">
        <v>26.626808</v>
      </c>
      <c r="C115" s="1">
        <f t="shared" si="3"/>
        <v>-2.6860054910238573E-2</v>
      </c>
      <c r="D115" s="29"/>
      <c r="E115" s="1"/>
      <c r="F115" s="1"/>
      <c r="G115" s="35"/>
    </row>
    <row r="116" spans="1:7">
      <c r="A116" s="16">
        <v>42522</v>
      </c>
      <c r="B116" s="17">
        <v>27.632508999999999</v>
      </c>
      <c r="C116" s="1">
        <f t="shared" si="3"/>
        <v>3.7770242681736343E-2</v>
      </c>
      <c r="D116" s="28"/>
      <c r="E116" s="1"/>
      <c r="F116" s="1"/>
      <c r="G116" s="35"/>
    </row>
    <row r="117" spans="1:7">
      <c r="A117" s="16">
        <v>42552</v>
      </c>
      <c r="B117" s="17">
        <v>27.941956000000001</v>
      </c>
      <c r="C117" s="1">
        <f t="shared" si="3"/>
        <v>1.119865734957326E-2</v>
      </c>
      <c r="D117" s="28"/>
      <c r="E117" s="1"/>
      <c r="F117" s="1"/>
      <c r="G117" s="35"/>
    </row>
    <row r="118" spans="1:7">
      <c r="A118" s="16">
        <v>42583</v>
      </c>
      <c r="B118" s="17">
        <v>27.622837000000001</v>
      </c>
      <c r="C118" s="1">
        <f t="shared" si="3"/>
        <v>-1.1420782424823805E-2</v>
      </c>
      <c r="D118" s="29"/>
      <c r="E118" s="1"/>
      <c r="F118" s="1"/>
      <c r="G118" s="35"/>
    </row>
    <row r="119" spans="1:7">
      <c r="A119" s="16">
        <v>42614</v>
      </c>
      <c r="B119" s="17">
        <v>27.888769</v>
      </c>
      <c r="C119" s="1">
        <f t="shared" si="3"/>
        <v>9.6272515382833657E-3</v>
      </c>
      <c r="D119" s="29"/>
      <c r="E119" s="1"/>
      <c r="F119" s="1"/>
      <c r="G119" s="35"/>
    </row>
    <row r="120" spans="1:7">
      <c r="A120" s="16">
        <v>42644</v>
      </c>
      <c r="B120" s="17">
        <v>26.718678000000001</v>
      </c>
      <c r="C120" s="1">
        <f t="shared" si="3"/>
        <v>-4.1955634542349296E-2</v>
      </c>
      <c r="D120" s="28"/>
      <c r="E120" s="1"/>
      <c r="F120" s="1"/>
      <c r="G120" s="35"/>
    </row>
    <row r="121" spans="1:7">
      <c r="A121" s="16">
        <v>42675</v>
      </c>
      <c r="B121" s="17">
        <v>25.19079</v>
      </c>
      <c r="C121" s="1">
        <f t="shared" si="3"/>
        <v>-5.7184266377251158E-2</v>
      </c>
      <c r="D121" s="29"/>
      <c r="E121" s="1"/>
      <c r="F121" s="1"/>
      <c r="G121" s="35"/>
    </row>
    <row r="122" spans="1:7">
      <c r="A122" s="16">
        <v>42705</v>
      </c>
      <c r="B122" s="17">
        <v>25.123106</v>
      </c>
      <c r="C122" s="1">
        <f t="shared" si="3"/>
        <v>-2.6868549974018441E-3</v>
      </c>
      <c r="D122" s="28"/>
      <c r="E122" s="1"/>
      <c r="F122" s="1"/>
      <c r="G122" s="35"/>
    </row>
    <row r="123" spans="1:7">
      <c r="A123" s="16">
        <v>42736</v>
      </c>
      <c r="B123" s="17">
        <v>25.490572</v>
      </c>
      <c r="C123" s="1">
        <f t="shared" si="3"/>
        <v>1.4626615037169444E-2</v>
      </c>
      <c r="D123" s="29"/>
      <c r="E123" s="1"/>
      <c r="F123" s="1"/>
      <c r="G123" s="35"/>
    </row>
    <row r="124" spans="1:7">
      <c r="A124" s="16">
        <v>42767</v>
      </c>
      <c r="B124" s="17">
        <v>25.567931999999999</v>
      </c>
      <c r="C124" s="1">
        <f t="shared" si="3"/>
        <v>3.0348475506942751E-3</v>
      </c>
      <c r="D124" s="29"/>
      <c r="E124" s="1"/>
      <c r="F124" s="1"/>
      <c r="G124" s="35"/>
    </row>
    <row r="125" spans="1:7">
      <c r="A125" s="16">
        <v>42795</v>
      </c>
      <c r="B125" s="17">
        <v>25.761333</v>
      </c>
      <c r="C125" s="1">
        <f t="shared" si="3"/>
        <v>7.5642019072954536E-3</v>
      </c>
      <c r="D125" s="28"/>
      <c r="E125" s="1"/>
      <c r="F125" s="1"/>
      <c r="G125" s="35"/>
    </row>
    <row r="126" spans="1:7">
      <c r="A126" s="16">
        <v>42826</v>
      </c>
      <c r="B126" s="17">
        <v>26.128803000000001</v>
      </c>
      <c r="C126" s="1">
        <f t="shared" si="3"/>
        <v>1.4264401613068634E-2</v>
      </c>
      <c r="D126" s="28"/>
      <c r="E126" s="1"/>
      <c r="F126" s="1"/>
      <c r="G126" s="35"/>
    </row>
    <row r="127" spans="1:7">
      <c r="A127" s="16">
        <v>42856</v>
      </c>
      <c r="B127" s="17">
        <v>26.631647000000001</v>
      </c>
      <c r="C127" s="1">
        <f t="shared" si="3"/>
        <v>1.9244815769019263E-2</v>
      </c>
      <c r="D127" s="28"/>
      <c r="E127" s="1"/>
      <c r="F127" s="1"/>
      <c r="G127" s="35"/>
    </row>
    <row r="128" spans="1:7">
      <c r="A128" s="16">
        <v>42887</v>
      </c>
      <c r="B128" s="17">
        <v>26.718678000000001</v>
      </c>
      <c r="C128" s="1">
        <f t="shared" si="3"/>
        <v>3.2679540998721279E-3</v>
      </c>
      <c r="D128" s="28"/>
      <c r="E128" s="1"/>
      <c r="F128" s="1"/>
      <c r="G128" s="35"/>
    </row>
    <row r="129" spans="1:7">
      <c r="A129" s="16">
        <v>42917</v>
      </c>
      <c r="B129" s="17">
        <v>27.501961000000001</v>
      </c>
      <c r="C129" s="1">
        <f t="shared" si="3"/>
        <v>2.9315933969487507E-2</v>
      </c>
      <c r="D129" s="28"/>
      <c r="E129" s="1"/>
      <c r="F129" s="1"/>
      <c r="G129" s="35"/>
    </row>
    <row r="130" spans="1:7">
      <c r="A130" s="16">
        <v>42948</v>
      </c>
      <c r="B130" s="17">
        <v>27.705034000000001</v>
      </c>
      <c r="C130" s="1">
        <f t="shared" si="3"/>
        <v>7.3839461847828858E-3</v>
      </c>
      <c r="D130" s="28"/>
      <c r="E130" s="1"/>
      <c r="F130" s="1"/>
      <c r="G130" s="35"/>
    </row>
    <row r="131" spans="1:7">
      <c r="A131" s="16">
        <v>42979</v>
      </c>
      <c r="B131" s="17">
        <v>27.163509000000001</v>
      </c>
      <c r="C131" s="1">
        <f t="shared" si="3"/>
        <v>-1.9546086823066133E-2</v>
      </c>
      <c r="D131" s="28"/>
      <c r="E131" s="1"/>
      <c r="F131" s="1"/>
      <c r="G131" s="35"/>
    </row>
    <row r="132" spans="1:7">
      <c r="A132" s="16">
        <v>43009</v>
      </c>
      <c r="B132" s="17">
        <v>26.955884999999999</v>
      </c>
      <c r="C132" s="1">
        <f t="shared" si="3"/>
        <v>-7.6434896537116437E-3</v>
      </c>
      <c r="D132" s="28"/>
      <c r="E132" s="1"/>
      <c r="F132" s="1"/>
      <c r="G132" s="35"/>
    </row>
    <row r="133" spans="1:7">
      <c r="A133" s="16">
        <v>43040</v>
      </c>
      <c r="B133" s="17">
        <v>27.524360999999999</v>
      </c>
      <c r="C133" s="1">
        <f t="shared" si="3"/>
        <v>2.1089123951968158E-2</v>
      </c>
      <c r="D133" s="29"/>
      <c r="E133" s="1"/>
      <c r="F133" s="1"/>
      <c r="G133" s="35"/>
    </row>
    <row r="134" spans="1:7">
      <c r="A134" s="16">
        <v>43070</v>
      </c>
      <c r="B134" s="17">
        <v>27.569476999999999</v>
      </c>
      <c r="C134" s="1">
        <f t="shared" si="3"/>
        <v>1.6391297876088284E-3</v>
      </c>
      <c r="D134" s="28"/>
      <c r="E134" s="1"/>
      <c r="F134" s="1"/>
      <c r="G134" s="35"/>
    </row>
    <row r="135" spans="1:7">
      <c r="A135" s="16">
        <v>43101</v>
      </c>
      <c r="B135" s="17">
        <v>28.425416999999999</v>
      </c>
      <c r="C135" s="1">
        <f t="shared" si="3"/>
        <v>3.1046653514682276E-2</v>
      </c>
      <c r="D135" s="28"/>
      <c r="E135" s="1"/>
      <c r="F135" s="1"/>
      <c r="G135" s="35"/>
    </row>
    <row r="136" spans="1:7">
      <c r="A136" s="16">
        <v>43132</v>
      </c>
      <c r="B136" s="17">
        <v>28.192267999999999</v>
      </c>
      <c r="C136" s="1">
        <f t="shared" si="3"/>
        <v>-8.2021312123583545E-3</v>
      </c>
      <c r="D136" s="28"/>
      <c r="E136" s="1"/>
      <c r="F136" s="1"/>
      <c r="G136" s="35"/>
    </row>
    <row r="137" spans="1:7">
      <c r="A137" s="16">
        <v>43160</v>
      </c>
      <c r="B137" s="17">
        <v>28.689858999999998</v>
      </c>
      <c r="C137" s="1">
        <f t="shared" si="3"/>
        <v>1.7649910251988254E-2</v>
      </c>
      <c r="D137" s="28"/>
      <c r="E137" s="1"/>
      <c r="F137" s="1"/>
      <c r="G137" s="35"/>
    </row>
    <row r="138" spans="1:7">
      <c r="A138" s="16">
        <v>43191</v>
      </c>
      <c r="B138" s="17">
        <v>27.886547</v>
      </c>
      <c r="C138" s="1">
        <f t="shared" si="3"/>
        <v>-2.7999858765426433E-2</v>
      </c>
      <c r="D138" s="28"/>
      <c r="E138" s="1"/>
      <c r="F138" s="1"/>
      <c r="G138" s="35"/>
    </row>
    <row r="139" spans="1:7">
      <c r="A139" s="16">
        <v>43221</v>
      </c>
      <c r="B139" s="17">
        <v>27.324960999999998</v>
      </c>
      <c r="C139" s="1">
        <f t="shared" si="3"/>
        <v>-2.0138240851404143E-2</v>
      </c>
      <c r="D139" s="29"/>
      <c r="E139" s="1"/>
      <c r="F139" s="1"/>
      <c r="G139" s="35"/>
    </row>
    <row r="140" spans="1:7">
      <c r="A140" s="16">
        <v>43252</v>
      </c>
      <c r="B140" s="17">
        <v>27.041954</v>
      </c>
      <c r="C140" s="1">
        <f t="shared" si="3"/>
        <v>-1.0357087060435255E-2</v>
      </c>
      <c r="D140" s="29"/>
      <c r="E140" s="1"/>
      <c r="F140" s="1"/>
      <c r="G140" s="35"/>
    </row>
    <row r="141" spans="1:7">
      <c r="A141" s="16">
        <v>43282</v>
      </c>
      <c r="B141" s="17">
        <v>27.122654000000001</v>
      </c>
      <c r="C141" s="1">
        <f t="shared" si="3"/>
        <v>2.9842518036973242E-3</v>
      </c>
      <c r="D141" s="28"/>
      <c r="E141" s="1"/>
      <c r="F141" s="1"/>
      <c r="G141" s="35"/>
    </row>
    <row r="142" spans="1:7">
      <c r="A142" s="16">
        <v>43313</v>
      </c>
      <c r="B142" s="17">
        <v>26.947983000000001</v>
      </c>
      <c r="C142" s="1">
        <f t="shared" ref="C142:C165" si="4">(B142/B141)-1</f>
        <v>-6.4400408603081383E-3</v>
      </c>
      <c r="D142" s="29"/>
      <c r="E142" s="1"/>
      <c r="F142" s="1"/>
      <c r="G142" s="35"/>
    </row>
    <row r="143" spans="1:7">
      <c r="A143" s="16">
        <v>43344</v>
      </c>
      <c r="B143" s="17">
        <v>26.748508000000001</v>
      </c>
      <c r="C143" s="1">
        <f t="shared" si="4"/>
        <v>-7.402223758267934E-3</v>
      </c>
      <c r="D143" s="29"/>
      <c r="E143" s="1"/>
      <c r="F143" s="1"/>
      <c r="G143" s="35"/>
    </row>
    <row r="144" spans="1:7">
      <c r="A144" s="16">
        <v>43374</v>
      </c>
      <c r="B144" s="17">
        <v>26.303391999999999</v>
      </c>
      <c r="C144" s="1">
        <f t="shared" si="4"/>
        <v>-1.6640778618381313E-2</v>
      </c>
      <c r="D144" s="28"/>
      <c r="E144" s="1"/>
      <c r="F144" s="1"/>
      <c r="G144" s="35"/>
    </row>
    <row r="145" spans="1:7">
      <c r="A145" s="16">
        <v>43405</v>
      </c>
      <c r="B145" s="17">
        <v>26.525120000000001</v>
      </c>
      <c r="C145" s="1">
        <f t="shared" si="4"/>
        <v>8.4296352348778303E-3</v>
      </c>
      <c r="D145" s="29"/>
      <c r="E145" s="1"/>
      <c r="F145" s="1"/>
      <c r="G145" s="35"/>
    </row>
    <row r="146" spans="1:7">
      <c r="A146" s="16">
        <v>43435</v>
      </c>
      <c r="B146" s="17">
        <v>27.080673000000001</v>
      </c>
      <c r="C146" s="1">
        <f t="shared" si="4"/>
        <v>2.0944410430565386E-2</v>
      </c>
      <c r="D146" s="28"/>
      <c r="E146" s="1"/>
      <c r="F146" s="1"/>
      <c r="G146" s="35"/>
    </row>
    <row r="147" spans="1:7">
      <c r="A147" s="16">
        <v>43466</v>
      </c>
      <c r="B147" s="17">
        <v>27.517803000000001</v>
      </c>
      <c r="C147" s="1">
        <f t="shared" si="4"/>
        <v>1.6141770184219473E-2</v>
      </c>
      <c r="D147" s="29"/>
      <c r="E147" s="1"/>
      <c r="F147" s="1"/>
      <c r="G147" s="35"/>
    </row>
    <row r="148" spans="1:7">
      <c r="A148" s="16">
        <v>43497</v>
      </c>
      <c r="B148" s="17">
        <v>27.193484999999999</v>
      </c>
      <c r="C148" s="1">
        <f t="shared" si="4"/>
        <v>-1.1785751936664535E-2</v>
      </c>
      <c r="D148" s="29"/>
      <c r="E148" s="1"/>
      <c r="F148" s="1"/>
      <c r="G148" s="35"/>
    </row>
    <row r="149" spans="1:7">
      <c r="A149" s="16">
        <v>43525</v>
      </c>
      <c r="B149" s="17">
        <v>27.436153000000001</v>
      </c>
      <c r="C149" s="1">
        <f t="shared" si="4"/>
        <v>8.9237550832488299E-3</v>
      </c>
      <c r="D149" s="29"/>
      <c r="E149" s="1"/>
      <c r="F149" s="1"/>
      <c r="G149" s="35"/>
    </row>
    <row r="150" spans="1:7">
      <c r="A150" s="16">
        <v>43556</v>
      </c>
      <c r="B150" s="17">
        <v>27.274875999999999</v>
      </c>
      <c r="C150" s="1">
        <f t="shared" si="4"/>
        <v>-5.8782658049764125E-3</v>
      </c>
      <c r="D150" s="28"/>
      <c r="E150" s="1"/>
      <c r="F150" s="1"/>
      <c r="G150" s="35"/>
    </row>
    <row r="151" spans="1:7">
      <c r="A151" s="16">
        <v>43586</v>
      </c>
      <c r="B151" s="17">
        <v>27.598030000000001</v>
      </c>
      <c r="C151" s="1">
        <f t="shared" si="4"/>
        <v>1.1848046531907297E-2</v>
      </c>
      <c r="D151" s="28"/>
      <c r="E151" s="1"/>
      <c r="F151" s="1"/>
      <c r="G151" s="35"/>
    </row>
    <row r="152" spans="1:7">
      <c r="A152" s="16">
        <v>43617</v>
      </c>
      <c r="B152" s="17">
        <v>28.542826000000002</v>
      </c>
      <c r="C152" s="1">
        <f t="shared" si="4"/>
        <v>3.423418265724032E-2</v>
      </c>
      <c r="D152" s="29"/>
      <c r="E152" s="1"/>
      <c r="F152" s="1"/>
      <c r="G152" s="35"/>
    </row>
    <row r="153" spans="1:7">
      <c r="A153" s="16">
        <v>43647</v>
      </c>
      <c r="B153" s="17">
        <v>28.177240000000001</v>
      </c>
      <c r="C153" s="1">
        <f t="shared" si="4"/>
        <v>-1.2808332293375635E-2</v>
      </c>
      <c r="D153" s="28"/>
      <c r="E153" s="1"/>
      <c r="F153" s="1"/>
      <c r="G153" s="35"/>
    </row>
    <row r="154" spans="1:7">
      <c r="A154" s="16">
        <v>43678</v>
      </c>
      <c r="B154" s="17">
        <v>28.697025</v>
      </c>
      <c r="C154" s="1">
        <f t="shared" si="4"/>
        <v>1.8446980612721431E-2</v>
      </c>
      <c r="D154" s="29"/>
      <c r="E154" s="1"/>
      <c r="F154" s="1"/>
      <c r="G154" s="35"/>
    </row>
    <row r="155" spans="1:7">
      <c r="A155" s="16">
        <v>43709</v>
      </c>
      <c r="B155" s="17">
        <v>28.408480000000001</v>
      </c>
      <c r="C155" s="1">
        <f t="shared" si="4"/>
        <v>-1.0054875026244026E-2</v>
      </c>
      <c r="D155" s="28"/>
      <c r="E155" s="1"/>
      <c r="F155" s="1"/>
      <c r="G155" s="35"/>
    </row>
    <row r="156" spans="1:7">
      <c r="A156" s="16">
        <v>43739</v>
      </c>
      <c r="B156" s="17">
        <v>28.661821</v>
      </c>
      <c r="C156" s="1">
        <f t="shared" si="4"/>
        <v>8.9177949682630597E-3</v>
      </c>
      <c r="D156" s="29"/>
      <c r="E156" s="1"/>
      <c r="F156" s="1"/>
      <c r="G156" s="35"/>
    </row>
    <row r="157" spans="1:7">
      <c r="A157" s="16">
        <v>43770</v>
      </c>
      <c r="B157" s="17">
        <v>28.241579000000002</v>
      </c>
      <c r="C157" s="1">
        <f t="shared" si="4"/>
        <v>-1.4662083054666986E-2</v>
      </c>
      <c r="D157" s="29"/>
      <c r="E157" s="1"/>
      <c r="F157" s="1"/>
      <c r="G157" s="35"/>
    </row>
    <row r="158" spans="1:7">
      <c r="A158" s="16">
        <v>43800</v>
      </c>
      <c r="B158" s="17">
        <v>28.595499</v>
      </c>
      <c r="C158" s="1">
        <f t="shared" si="4"/>
        <v>1.2531877201342079E-2</v>
      </c>
      <c r="D158" s="28"/>
      <c r="E158" s="1"/>
      <c r="F158" s="1"/>
      <c r="G158" s="35"/>
    </row>
    <row r="159" spans="1:7">
      <c r="A159" s="16">
        <v>43831</v>
      </c>
      <c r="B159" s="17">
        <v>28.769044999999998</v>
      </c>
      <c r="C159" s="1">
        <f t="shared" si="4"/>
        <v>6.0689970823728512E-3</v>
      </c>
      <c r="D159" s="28"/>
      <c r="E159" s="1"/>
      <c r="F159" s="1"/>
      <c r="G159" s="35"/>
    </row>
    <row r="160" spans="1:7">
      <c r="A160" s="16">
        <v>43862</v>
      </c>
      <c r="B160" s="17">
        <v>28.749154999999998</v>
      </c>
      <c r="C160" s="1">
        <f t="shared" si="4"/>
        <v>-6.9136810067904619E-4</v>
      </c>
      <c r="D160" s="28"/>
      <c r="E160" s="1"/>
      <c r="F160" s="1"/>
      <c r="G160" s="35"/>
    </row>
    <row r="161" spans="1:7">
      <c r="A161" s="16">
        <v>43891</v>
      </c>
      <c r="B161" s="17">
        <v>27.671156</v>
      </c>
      <c r="C161" s="1">
        <f t="shared" si="4"/>
        <v>-3.749671946879829E-2</v>
      </c>
      <c r="D161" s="28"/>
      <c r="E161" s="1"/>
      <c r="F161" s="1"/>
      <c r="G161" s="35"/>
    </row>
    <row r="162" spans="1:7">
      <c r="A162" s="16">
        <v>43922</v>
      </c>
      <c r="B162" s="17">
        <v>28.073672999999999</v>
      </c>
      <c r="C162" s="1">
        <f t="shared" si="4"/>
        <v>1.4546446848841432E-2</v>
      </c>
      <c r="D162" s="29"/>
      <c r="E162" s="1"/>
      <c r="F162" s="1"/>
      <c r="G162" s="35"/>
    </row>
    <row r="163" spans="1:7">
      <c r="A163" s="16">
        <v>43952</v>
      </c>
      <c r="B163" s="17">
        <v>28.332356999999998</v>
      </c>
      <c r="C163" s="1">
        <f t="shared" si="4"/>
        <v>9.2144693713571701E-3</v>
      </c>
      <c r="D163" s="29"/>
      <c r="E163" s="1"/>
      <c r="F163" s="1"/>
      <c r="G163" s="35"/>
    </row>
    <row r="164" spans="1:7">
      <c r="A164" s="16">
        <v>43983</v>
      </c>
      <c r="B164" s="17">
        <v>28.855568000000002</v>
      </c>
      <c r="C164" s="1">
        <f t="shared" si="4"/>
        <v>1.846690693612274E-2</v>
      </c>
      <c r="D164" s="29"/>
      <c r="E164" s="1"/>
      <c r="F164" s="1"/>
      <c r="G164" s="35"/>
    </row>
    <row r="165" spans="1:7">
      <c r="A165" s="16">
        <v>44013</v>
      </c>
      <c r="B165" s="17">
        <v>28.802078000000002</v>
      </c>
      <c r="C165" s="1">
        <f t="shared" si="4"/>
        <v>-1.8537150265072189E-3</v>
      </c>
      <c r="D165" s="28"/>
      <c r="E165" s="1"/>
      <c r="F165" s="1"/>
      <c r="G165" s="35"/>
    </row>
    <row r="166" spans="1:7">
      <c r="A166" s="16"/>
      <c r="C166" s="1"/>
      <c r="D166" s="28"/>
      <c r="E166" s="1"/>
      <c r="F166" s="1"/>
      <c r="G166" s="35"/>
    </row>
    <row r="167" spans="1:7">
      <c r="A167" s="16"/>
      <c r="C167" s="1"/>
      <c r="D167" s="28"/>
      <c r="E167" s="1"/>
      <c r="F167" s="1"/>
      <c r="G167" s="35"/>
    </row>
    <row r="168" spans="1:7">
      <c r="A168" s="16"/>
      <c r="C168" s="1"/>
      <c r="D168" s="29"/>
      <c r="E168" s="1"/>
      <c r="F168" s="1"/>
      <c r="G168" s="35"/>
    </row>
    <row r="169" spans="1:7">
      <c r="A169" s="16"/>
      <c r="C169" s="1"/>
      <c r="D169" s="28"/>
      <c r="E169" s="1"/>
      <c r="F169" s="1"/>
      <c r="G169" s="35"/>
    </row>
    <row r="170" spans="1:7">
      <c r="A170" s="16"/>
      <c r="C170" s="1"/>
      <c r="D170" s="29"/>
      <c r="E170" s="1"/>
      <c r="F170" s="1"/>
      <c r="G170" s="35"/>
    </row>
    <row r="171" spans="1:7">
      <c r="A171" s="16"/>
      <c r="C171" s="1"/>
      <c r="D171" s="29"/>
      <c r="E171" s="1"/>
      <c r="F171" s="1"/>
      <c r="G171" s="35"/>
    </row>
    <row r="172" spans="1:7">
      <c r="A172" s="16"/>
      <c r="C172" s="1"/>
      <c r="D172" s="28"/>
      <c r="E172" s="1"/>
      <c r="F172" s="1"/>
      <c r="G172" s="35"/>
    </row>
    <row r="173" spans="1:7">
      <c r="A173" s="16"/>
      <c r="C173" s="1"/>
      <c r="D173" s="29"/>
      <c r="E173" s="1"/>
      <c r="F173" s="1"/>
      <c r="G173" s="35"/>
    </row>
    <row r="174" spans="1:7">
      <c r="A174" s="16"/>
      <c r="C174" s="1"/>
      <c r="D174" s="29"/>
      <c r="E174" s="1"/>
      <c r="F174" s="1"/>
      <c r="G174" s="35"/>
    </row>
    <row r="175" spans="1:7">
      <c r="A175" s="16"/>
      <c r="C175" s="1"/>
      <c r="D175" s="29"/>
      <c r="E175" s="1"/>
      <c r="F175" s="1"/>
      <c r="G175" s="35"/>
    </row>
    <row r="176" spans="1:7">
      <c r="A176" s="16"/>
      <c r="C176" s="1"/>
      <c r="D176" s="28"/>
      <c r="E176" s="1"/>
      <c r="F176" s="1"/>
      <c r="G176" s="35"/>
    </row>
    <row r="177" spans="1:7">
      <c r="A177" s="16"/>
      <c r="C177" s="1"/>
      <c r="D177" s="29"/>
      <c r="E177" s="1"/>
      <c r="F177" s="1"/>
      <c r="G177" s="35"/>
    </row>
    <row r="178" spans="1:7">
      <c r="A178" s="16"/>
      <c r="C178" s="1"/>
      <c r="D178" s="28"/>
      <c r="E178" s="1"/>
      <c r="F178" s="1"/>
      <c r="G178" s="35"/>
    </row>
    <row r="179" spans="1:7">
      <c r="A179" s="16"/>
      <c r="C179" s="1"/>
      <c r="D179" s="28"/>
      <c r="E179" s="1"/>
      <c r="F179" s="1"/>
      <c r="G179" s="35"/>
    </row>
    <row r="180" spans="1:7">
      <c r="A180" s="16"/>
      <c r="C180" s="1"/>
      <c r="D180" s="28"/>
      <c r="E180" s="1"/>
      <c r="F180" s="1"/>
      <c r="G180" s="35"/>
    </row>
    <row r="181" spans="1:7">
      <c r="A181" s="16"/>
      <c r="C181" s="1"/>
      <c r="D181" s="28"/>
      <c r="E181" s="1"/>
      <c r="F181" s="1"/>
      <c r="G181" s="35"/>
    </row>
    <row r="182" spans="1:7">
      <c r="A182" s="16"/>
      <c r="C182" s="1"/>
      <c r="D182" s="29"/>
      <c r="E182" s="1"/>
      <c r="F182" s="1"/>
      <c r="G182" s="35"/>
    </row>
    <row r="183" spans="1:7">
      <c r="A183" s="16"/>
      <c r="C183" s="1"/>
      <c r="D183" s="28"/>
      <c r="E183" s="1"/>
      <c r="F183" s="1"/>
      <c r="G183" s="35"/>
    </row>
    <row r="184" spans="1:7">
      <c r="A184" s="16"/>
      <c r="C184" s="1"/>
      <c r="D184" s="29"/>
      <c r="E184" s="1"/>
      <c r="F184" s="1"/>
      <c r="G184" s="35"/>
    </row>
    <row r="185" spans="1:7">
      <c r="A185" s="16"/>
      <c r="C185" s="1"/>
      <c r="D185" s="29"/>
      <c r="E185" s="1"/>
      <c r="F185" s="1"/>
      <c r="G185" s="35"/>
    </row>
    <row r="186" spans="1:7">
      <c r="A186" s="16"/>
      <c r="C186" s="1"/>
      <c r="D186" s="28"/>
      <c r="E186" s="1"/>
      <c r="F186" s="1"/>
      <c r="G186" s="35"/>
    </row>
    <row r="187" spans="1:7">
      <c r="A187" s="16"/>
      <c r="C187" s="1"/>
      <c r="D187" s="28"/>
      <c r="E187" s="1"/>
      <c r="F187" s="1"/>
      <c r="G187" s="35"/>
    </row>
    <row r="188" spans="1:7">
      <c r="A188" s="16"/>
      <c r="C188" s="1"/>
      <c r="D188" s="28"/>
      <c r="E188" s="1"/>
      <c r="F188" s="1"/>
      <c r="G188" s="35"/>
    </row>
    <row r="189" spans="1:7">
      <c r="A189" s="16"/>
      <c r="C189" s="1"/>
      <c r="D189" s="28"/>
      <c r="E189" s="1"/>
      <c r="F189" s="1"/>
      <c r="G189" s="35"/>
    </row>
    <row r="190" spans="1:7">
      <c r="A190" s="16"/>
      <c r="C190" s="1"/>
      <c r="D190" s="29"/>
      <c r="E190" s="1"/>
      <c r="F190" s="1"/>
      <c r="G190" s="35"/>
    </row>
    <row r="191" spans="1:7">
      <c r="A191" s="16"/>
      <c r="C191" s="1"/>
      <c r="D191" s="29"/>
      <c r="E191" s="1"/>
      <c r="F191" s="1"/>
      <c r="G191" s="35"/>
    </row>
    <row r="192" spans="1:7">
      <c r="A192" s="16"/>
      <c r="C192" s="1"/>
      <c r="D192" s="29"/>
      <c r="E192" s="1"/>
      <c r="F192" s="1"/>
      <c r="G192" s="35"/>
    </row>
    <row r="193" spans="1:7">
      <c r="A193" s="16"/>
      <c r="C193" s="1"/>
      <c r="D193" s="28"/>
      <c r="E193" s="1"/>
      <c r="F193" s="1"/>
      <c r="G193" s="35"/>
    </row>
    <row r="194" spans="1:7">
      <c r="A194" s="16"/>
      <c r="C194" s="1"/>
      <c r="D194" s="28"/>
      <c r="E194" s="1"/>
      <c r="F194" s="1"/>
      <c r="G194" s="35"/>
    </row>
    <row r="195" spans="1:7">
      <c r="A195" s="16"/>
      <c r="C195" s="1"/>
      <c r="D195" s="28"/>
      <c r="E195" s="1"/>
      <c r="F195" s="1"/>
      <c r="G195" s="35"/>
    </row>
    <row r="196" spans="1:7">
      <c r="A196" s="16"/>
      <c r="C196" s="1"/>
      <c r="D196" s="26"/>
      <c r="E196" s="1"/>
      <c r="F196" s="1"/>
      <c r="G196" s="35"/>
    </row>
    <row r="197" spans="1:7">
      <c r="A197" s="16"/>
      <c r="C197" s="1"/>
      <c r="D197" s="26"/>
      <c r="E197" s="1"/>
      <c r="F197" s="1"/>
      <c r="G197" s="35"/>
    </row>
    <row r="198" spans="1:7">
      <c r="A198" s="16"/>
      <c r="C198" s="1"/>
      <c r="D198" s="26"/>
      <c r="E198" s="1"/>
      <c r="F198" s="1"/>
      <c r="G198" s="35"/>
    </row>
    <row r="199" spans="1:7">
      <c r="A199" s="16"/>
      <c r="C199" s="1"/>
      <c r="D199" s="26"/>
      <c r="E199" s="1"/>
      <c r="F199" s="1"/>
      <c r="G199" s="35"/>
    </row>
    <row r="200" spans="1:7">
      <c r="A200" s="16"/>
      <c r="C200" s="1"/>
      <c r="D200" s="26"/>
      <c r="E200" s="1"/>
      <c r="F200" s="1"/>
      <c r="G200" s="35"/>
    </row>
    <row r="201" spans="1:7">
      <c r="A201" s="16"/>
      <c r="C201" s="1"/>
      <c r="D201" s="26"/>
      <c r="E201" s="1"/>
      <c r="F201" s="1"/>
      <c r="G201" s="35"/>
    </row>
    <row r="202" spans="1:7">
      <c r="A202" s="16"/>
      <c r="C202" s="1"/>
      <c r="D202" s="26"/>
      <c r="E202" s="1"/>
      <c r="F202" s="1"/>
      <c r="G202" s="35"/>
    </row>
    <row r="203" spans="1:7">
      <c r="A203" s="16"/>
      <c r="C203" s="1"/>
      <c r="D203" s="26"/>
      <c r="E203" s="1"/>
      <c r="F203" s="1"/>
      <c r="G203" s="35"/>
    </row>
    <row r="204" spans="1:7">
      <c r="A204" s="16"/>
      <c r="C204" s="1"/>
      <c r="D204" s="26"/>
      <c r="E204" s="1"/>
      <c r="F204" s="1"/>
      <c r="G204" s="35"/>
    </row>
    <row r="205" spans="1:7">
      <c r="A205" s="16"/>
      <c r="C205" s="1"/>
      <c r="D205" s="26"/>
      <c r="E205" s="1"/>
      <c r="F205" s="1"/>
      <c r="G205" s="35"/>
    </row>
    <row r="206" spans="1:7">
      <c r="A206" s="16"/>
      <c r="C206" s="1"/>
      <c r="D206" s="26"/>
      <c r="E206" s="1"/>
      <c r="F206" s="1"/>
      <c r="G206" s="35"/>
    </row>
    <row r="207" spans="1:7">
      <c r="A207" s="16"/>
      <c r="C207" s="1"/>
      <c r="D207" s="26"/>
      <c r="E207" s="1"/>
      <c r="F207" s="1"/>
      <c r="G207" s="35"/>
    </row>
    <row r="208" spans="1:7">
      <c r="A208" s="16"/>
      <c r="C208" s="1"/>
      <c r="D208" s="26"/>
      <c r="E208" s="1"/>
      <c r="F208" s="1"/>
      <c r="G208" s="35"/>
    </row>
    <row r="209" spans="1:7">
      <c r="A209" s="16"/>
      <c r="C209" s="1"/>
      <c r="D209" s="26"/>
      <c r="E209" s="1"/>
      <c r="F209" s="1"/>
      <c r="G209" s="35"/>
    </row>
  </sheetData>
  <autoFilter ref="A11:Y165" xr:uid="{88C8BFEA-92E7-AC41-A856-6D536DBA7704}"/>
  <sortState xmlns:xlrd2="http://schemas.microsoft.com/office/spreadsheetml/2017/richdata2" ref="K13:K21">
    <sortCondition ref="K13"/>
  </sortState>
  <conditionalFormatting sqref="C1:C10">
    <cfRule type="cellIs" dxfId="35" priority="17" operator="lessThan">
      <formula>0</formula>
    </cfRule>
    <cfRule type="cellIs" dxfId="34" priority="18" operator="greaterThan">
      <formula>0</formula>
    </cfRule>
  </conditionalFormatting>
  <conditionalFormatting sqref="E1:F10">
    <cfRule type="cellIs" dxfId="33" priority="15" operator="lessThan">
      <formula>0</formula>
    </cfRule>
    <cfRule type="cellIs" dxfId="32" priority="16" operator="greaterThan">
      <formula>0</formula>
    </cfRule>
  </conditionalFormatting>
  <conditionalFormatting sqref="G1:G10">
    <cfRule type="cellIs" dxfId="31" priority="13" operator="lessThan">
      <formula>0</formula>
    </cfRule>
    <cfRule type="cellIs" dxfId="30" priority="14" operator="greaterThan">
      <formula>0</formula>
    </cfRule>
  </conditionalFormatting>
  <conditionalFormatting sqref="C12:C209">
    <cfRule type="cellIs" dxfId="29" priority="11" operator="lessThan">
      <formula>0</formula>
    </cfRule>
    <cfRule type="cellIs" dxfId="28" priority="12" operator="greaterThan">
      <formula>0</formula>
    </cfRule>
  </conditionalFormatting>
  <conditionalFormatting sqref="E12:F209">
    <cfRule type="cellIs" dxfId="27" priority="9" operator="lessThan">
      <formula>0</formula>
    </cfRule>
    <cfRule type="cellIs" dxfId="26" priority="10" operator="greaterThan">
      <formula>0</formula>
    </cfRule>
  </conditionalFormatting>
  <conditionalFormatting sqref="G12:G13 G168:G209">
    <cfRule type="cellIs" dxfId="25" priority="7" operator="lessThan">
      <formula>0</formula>
    </cfRule>
    <cfRule type="cellIs" dxfId="24" priority="8" operator="greaterThan">
      <formula>0</formula>
    </cfRule>
  </conditionalFormatting>
  <conditionalFormatting sqref="G140:G167">
    <cfRule type="cellIs" dxfId="23" priority="5" operator="lessThan">
      <formula>0</formula>
    </cfRule>
    <cfRule type="cellIs" dxfId="22" priority="6" operator="greaterThan">
      <formula>0</formula>
    </cfRule>
  </conditionalFormatting>
  <conditionalFormatting sqref="G14:G139">
    <cfRule type="cellIs" dxfId="21" priority="3" operator="lessThan">
      <formula>0</formula>
    </cfRule>
    <cfRule type="cellIs" dxfId="20" priority="4" operator="greaterThan">
      <formula>0</formula>
    </cfRule>
  </conditionalFormatting>
  <conditionalFormatting sqref="M44:M47">
    <cfRule type="cellIs" dxfId="19" priority="1" operator="lessThan">
      <formula>0</formula>
    </cfRule>
    <cfRule type="cellIs" dxfId="18" priority="2" operator="greaterThan">
      <formula>0</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428DE-F7B3-F64A-BD38-054F2BFA9CA8}">
  <dimension ref="A1:Y209"/>
  <sheetViews>
    <sheetView zoomScale="150" zoomScaleNormal="100" workbookViewId="0">
      <pane ySplit="11" topLeftCell="A41" activePane="bottomLeft" state="frozen"/>
      <selection pane="bottomLeft" activeCell="H52" sqref="H52"/>
    </sheetView>
  </sheetViews>
  <sheetFormatPr baseColWidth="10" defaultRowHeight="16"/>
  <cols>
    <col min="10" max="10" width="51.83203125" bestFit="1" customWidth="1"/>
    <col min="11" max="11" width="15.8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5.0000000000000001E-3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235</v>
      </c>
      <c r="B3" t="s">
        <v>268</v>
      </c>
      <c r="C3" s="1"/>
      <c r="E3" s="1"/>
      <c r="F3" s="1"/>
      <c r="G3" s="9" t="s">
        <v>13</v>
      </c>
      <c r="H3" s="9">
        <f>SUBTOTAL(1,C13:C241)</f>
        <v>1.5201207483953234E-3</v>
      </c>
      <c r="J3" s="3" t="s">
        <v>14</v>
      </c>
      <c r="K3" s="10">
        <v>2.1983798916799944E-2</v>
      </c>
      <c r="L3" s="3">
        <v>86</v>
      </c>
      <c r="M3" s="9">
        <f>L3/$K$38</f>
        <v>0.58108108108108103</v>
      </c>
      <c r="N3" s="10">
        <f>K3*M3</f>
        <v>1.2774369640843209E-2</v>
      </c>
      <c r="P3" s="4" t="s">
        <v>15</v>
      </c>
      <c r="Q3" s="11">
        <f>$K$26+$K$30</f>
        <v>3.4285429694271695E-2</v>
      </c>
      <c r="R3" s="11">
        <f>$K$26+$K$30*2</f>
        <v>6.7050738640148058E-2</v>
      </c>
      <c r="S3" s="11">
        <f>$K$26+$K$30*3</f>
        <v>9.9816047586024428E-2</v>
      </c>
      <c r="T3" s="6"/>
      <c r="U3" s="5">
        <v>1</v>
      </c>
      <c r="V3" s="5">
        <v>112</v>
      </c>
      <c r="W3" s="12">
        <f>Y3*$K$38</f>
        <v>100.93600000000001</v>
      </c>
      <c r="X3" s="13">
        <f>V3/$K$38</f>
        <v>0.7567567567567568</v>
      </c>
      <c r="Y3" s="13">
        <v>0.68200000000000005</v>
      </c>
    </row>
    <row r="4" spans="1:25">
      <c r="A4" t="s">
        <v>264</v>
      </c>
      <c r="C4" s="1"/>
      <c r="E4" s="1"/>
      <c r="F4" s="1"/>
      <c r="G4" s="9" t="s">
        <v>16</v>
      </c>
      <c r="H4" s="14">
        <f>SUBTOTAL(2,C13:C241)</f>
        <v>148</v>
      </c>
      <c r="J4" s="3" t="s">
        <v>17</v>
      </c>
      <c r="K4" s="10">
        <v>-2.6864981227133662E-2</v>
      </c>
      <c r="L4" s="3">
        <v>62</v>
      </c>
      <c r="M4" s="9">
        <f>L4/$K$38</f>
        <v>0.41891891891891891</v>
      </c>
      <c r="N4" s="10">
        <f>K4*M4</f>
        <v>-1.1254248892447886E-2</v>
      </c>
      <c r="P4" s="4" t="s">
        <v>18</v>
      </c>
      <c r="Q4" s="11">
        <f>$K$26-$K$30</f>
        <v>-3.1245188197481046E-2</v>
      </c>
      <c r="R4" s="11">
        <f>$K$26-$K$30*2</f>
        <v>-6.4010497143357423E-2</v>
      </c>
      <c r="S4" s="11">
        <f>$K$26-$K$30*3</f>
        <v>-9.6775806089233793E-2</v>
      </c>
      <c r="T4" s="6"/>
      <c r="U4" s="5">
        <v>2</v>
      </c>
      <c r="V4" s="5">
        <v>140</v>
      </c>
      <c r="W4" s="12">
        <f t="shared" ref="W4:W5" si="0">Y4*$K$38</f>
        <v>141.19200000000001</v>
      </c>
      <c r="X4" s="13">
        <f t="shared" ref="X4:X5" si="1">V4/$K$38</f>
        <v>0.94594594594594594</v>
      </c>
      <c r="Y4" s="13">
        <v>0.95399999999999996</v>
      </c>
    </row>
    <row r="5" spans="1:25">
      <c r="A5" t="s">
        <v>391</v>
      </c>
      <c r="C5" s="1"/>
      <c r="E5" s="1"/>
      <c r="F5" s="1"/>
      <c r="G5" s="1"/>
      <c r="J5" s="3" t="s">
        <v>19</v>
      </c>
      <c r="K5" s="3"/>
      <c r="L5" s="27">
        <f>K38-L4-$L$3</f>
        <v>0</v>
      </c>
      <c r="M5" s="3"/>
      <c r="N5" s="3"/>
      <c r="P5" s="6"/>
      <c r="Q5" s="6"/>
      <c r="R5" s="6"/>
      <c r="S5" s="6"/>
      <c r="T5" s="6"/>
      <c r="U5" s="5">
        <v>3</v>
      </c>
      <c r="V5" s="5">
        <v>145</v>
      </c>
      <c r="W5" s="12">
        <f t="shared" si="0"/>
        <v>147.70400000000001</v>
      </c>
      <c r="X5" s="13">
        <f t="shared" si="1"/>
        <v>0.97972972972972971</v>
      </c>
      <c r="Y5" s="13">
        <v>0.998</v>
      </c>
    </row>
    <row r="6" spans="1:25">
      <c r="A6" t="s">
        <v>267</v>
      </c>
      <c r="C6" s="1"/>
      <c r="E6" s="1"/>
      <c r="F6" s="1"/>
      <c r="G6" s="1"/>
    </row>
    <row r="7" spans="1:25">
      <c r="C7" s="1"/>
      <c r="E7" s="1"/>
      <c r="F7" s="1"/>
      <c r="G7" s="1"/>
      <c r="P7" s="6"/>
      <c r="Q7" s="6"/>
      <c r="R7" s="6"/>
      <c r="S7" s="6"/>
      <c r="T7" s="6"/>
      <c r="U7" s="6"/>
      <c r="V7" s="6"/>
      <c r="W7" s="6"/>
      <c r="X7" s="6"/>
      <c r="Y7" s="6"/>
    </row>
    <row r="8" spans="1:25">
      <c r="C8" s="1"/>
      <c r="E8" s="1"/>
      <c r="F8" s="1"/>
      <c r="G8" s="1"/>
      <c r="P8" s="6"/>
      <c r="Q8" s="6"/>
      <c r="R8" s="6"/>
      <c r="S8" s="6"/>
      <c r="T8" s="6"/>
      <c r="U8" s="6"/>
      <c r="V8" s="6"/>
      <c r="W8" s="6"/>
      <c r="X8" s="6"/>
      <c r="Y8" s="6"/>
    </row>
    <row r="9" spans="1:25">
      <c r="C9" s="1"/>
      <c r="E9" s="1"/>
      <c r="F9" s="1"/>
      <c r="G9" s="1"/>
    </row>
    <row r="10" spans="1:25">
      <c r="C10" s="1"/>
      <c r="E10" s="1"/>
      <c r="F10" s="1"/>
      <c r="G10" s="1"/>
    </row>
    <row r="11" spans="1:25">
      <c r="A11" s="15" t="s">
        <v>20</v>
      </c>
      <c r="B11" s="15" t="s">
        <v>21</v>
      </c>
      <c r="C11" s="15" t="s">
        <v>22</v>
      </c>
      <c r="D11" s="15"/>
      <c r="E11" s="15"/>
      <c r="F11" s="15"/>
      <c r="G11" s="15"/>
    </row>
    <row r="12" spans="1:25">
      <c r="A12" s="16">
        <v>39508</v>
      </c>
      <c r="B12">
        <v>45.825271999999998</v>
      </c>
      <c r="D12" s="29"/>
      <c r="E12" s="1"/>
      <c r="F12" s="1"/>
      <c r="G12" s="2"/>
      <c r="J12" s="3" t="s">
        <v>27</v>
      </c>
      <c r="K12" s="43" t="s">
        <v>27</v>
      </c>
      <c r="L12" s="18" t="s">
        <v>29</v>
      </c>
      <c r="M12" s="43" t="s">
        <v>3</v>
      </c>
    </row>
    <row r="13" spans="1:25">
      <c r="A13" s="16">
        <v>39539</v>
      </c>
      <c r="B13">
        <v>44.855105999999999</v>
      </c>
      <c r="C13" s="1">
        <f>(B13/B12)-1</f>
        <v>-2.1170981811084455E-2</v>
      </c>
      <c r="D13" s="29"/>
      <c r="E13" s="1"/>
      <c r="F13" s="1"/>
      <c r="G13" s="35"/>
      <c r="J13" s="10">
        <v>-0.08</v>
      </c>
      <c r="K13" s="44">
        <v>-0.08</v>
      </c>
      <c r="L13" s="3" t="s">
        <v>163</v>
      </c>
      <c r="M13" s="45">
        <v>3</v>
      </c>
    </row>
    <row r="14" spans="1:25">
      <c r="A14" s="16">
        <v>39569</v>
      </c>
      <c r="B14">
        <v>44.752063999999997</v>
      </c>
      <c r="C14" s="1">
        <f>(B14/B13)-1</f>
        <v>-2.2972189609807847E-3</v>
      </c>
      <c r="D14" s="28"/>
      <c r="E14" s="1"/>
      <c r="F14" s="1"/>
      <c r="G14" s="35"/>
      <c r="J14" s="10">
        <v>-0.06</v>
      </c>
      <c r="K14" s="44">
        <v>-0.06</v>
      </c>
      <c r="L14" s="21" t="s">
        <v>164</v>
      </c>
      <c r="M14" s="45">
        <v>2</v>
      </c>
    </row>
    <row r="15" spans="1:25">
      <c r="A15" s="16">
        <v>39600</v>
      </c>
      <c r="B15">
        <v>45.068401000000001</v>
      </c>
      <c r="C15" s="1">
        <f t="shared" ref="C15:C78" si="2">(B15/B14)-1</f>
        <v>7.0686572132181436E-3</v>
      </c>
      <c r="D15" s="28"/>
      <c r="E15" s="1"/>
      <c r="F15" s="1"/>
      <c r="G15" s="35"/>
      <c r="J15" s="10">
        <v>-0.04</v>
      </c>
      <c r="K15" s="44">
        <v>-0.04</v>
      </c>
      <c r="L15" s="21" t="s">
        <v>165</v>
      </c>
      <c r="M15" s="45">
        <v>8</v>
      </c>
    </row>
    <row r="16" spans="1:25">
      <c r="A16" s="16">
        <v>39630</v>
      </c>
      <c r="B16">
        <v>45.518580999999998</v>
      </c>
      <c r="C16" s="1">
        <f t="shared" si="2"/>
        <v>9.9888167765258551E-3</v>
      </c>
      <c r="D16" s="29"/>
      <c r="E16" s="1"/>
      <c r="F16" s="1"/>
      <c r="G16" s="35"/>
      <c r="J16" s="10">
        <v>-0.02</v>
      </c>
      <c r="K16" s="44">
        <v>-0.02</v>
      </c>
      <c r="L16" s="21" t="s">
        <v>166</v>
      </c>
      <c r="M16" s="45">
        <v>18</v>
      </c>
    </row>
    <row r="17" spans="1:13">
      <c r="A17" s="16">
        <v>39661</v>
      </c>
      <c r="B17">
        <v>43.234524</v>
      </c>
      <c r="C17" s="1">
        <f t="shared" si="2"/>
        <v>-5.0178563343176164E-2</v>
      </c>
      <c r="D17" s="29"/>
      <c r="E17" s="1"/>
      <c r="F17" s="1"/>
      <c r="G17" s="35"/>
      <c r="J17" s="10">
        <v>0</v>
      </c>
      <c r="K17" s="44">
        <v>0</v>
      </c>
      <c r="L17" s="21" t="s">
        <v>167</v>
      </c>
      <c r="M17" s="45">
        <v>31</v>
      </c>
    </row>
    <row r="18" spans="1:13">
      <c r="A18" s="16">
        <v>39692</v>
      </c>
      <c r="B18">
        <v>39.141621000000001</v>
      </c>
      <c r="C18" s="1">
        <f t="shared" si="2"/>
        <v>-9.46674699136274E-2</v>
      </c>
      <c r="D18" s="29"/>
      <c r="E18" s="1"/>
      <c r="F18" s="1"/>
      <c r="G18" s="35"/>
      <c r="J18" s="10">
        <v>0.02</v>
      </c>
      <c r="K18" s="44">
        <v>0.02</v>
      </c>
      <c r="L18" s="3" t="s">
        <v>168</v>
      </c>
      <c r="M18" s="45">
        <v>48</v>
      </c>
    </row>
    <row r="19" spans="1:13">
      <c r="A19" s="16">
        <v>39722</v>
      </c>
      <c r="B19">
        <v>34.338695999999999</v>
      </c>
      <c r="C19" s="1">
        <f t="shared" si="2"/>
        <v>-0.1227063386056495</v>
      </c>
      <c r="D19" s="28"/>
      <c r="E19" s="1"/>
      <c r="F19" s="1"/>
      <c r="G19" s="35"/>
      <c r="J19" s="10">
        <v>0.04</v>
      </c>
      <c r="K19" s="44">
        <v>0.04</v>
      </c>
      <c r="L19" s="3" t="s">
        <v>169</v>
      </c>
      <c r="M19" s="45">
        <v>27</v>
      </c>
    </row>
    <row r="20" spans="1:13">
      <c r="A20" s="16">
        <v>39753</v>
      </c>
      <c r="B20">
        <v>33.281638999999998</v>
      </c>
      <c r="C20" s="1">
        <f t="shared" si="2"/>
        <v>-3.078325979530494E-2</v>
      </c>
      <c r="D20" s="29"/>
      <c r="E20" s="1"/>
      <c r="F20" s="1"/>
      <c r="G20" s="35"/>
      <c r="J20" s="10">
        <v>0.06</v>
      </c>
      <c r="K20" s="44">
        <v>0.06</v>
      </c>
      <c r="L20" s="3" t="s">
        <v>170</v>
      </c>
      <c r="M20" s="45">
        <v>6</v>
      </c>
    </row>
    <row r="21" spans="1:13">
      <c r="A21" s="16">
        <v>39783</v>
      </c>
      <c r="B21">
        <v>36.729743999999997</v>
      </c>
      <c r="C21" s="1">
        <f t="shared" si="2"/>
        <v>0.1036038219151405</v>
      </c>
      <c r="D21" s="28"/>
      <c r="E21" s="1"/>
      <c r="F21" s="1"/>
      <c r="G21" s="35"/>
      <c r="J21" s="10">
        <v>0.08</v>
      </c>
      <c r="K21" s="44">
        <v>0.08</v>
      </c>
      <c r="L21" s="3" t="s">
        <v>171</v>
      </c>
      <c r="M21" s="45">
        <v>4</v>
      </c>
    </row>
    <row r="22" spans="1:13">
      <c r="A22" s="16">
        <v>39814</v>
      </c>
      <c r="B22">
        <v>34.996989999999997</v>
      </c>
      <c r="C22" s="1">
        <f t="shared" si="2"/>
        <v>-4.7175771222364049E-2</v>
      </c>
      <c r="D22" s="28"/>
      <c r="E22" s="1"/>
      <c r="F22" s="1"/>
      <c r="G22" s="35"/>
      <c r="J22" s="3"/>
      <c r="K22" s="45" t="s">
        <v>37</v>
      </c>
      <c r="L22" s="3" t="s">
        <v>172</v>
      </c>
      <c r="M22" s="45">
        <v>1</v>
      </c>
    </row>
    <row r="23" spans="1:13">
      <c r="A23" s="16">
        <v>39845</v>
      </c>
      <c r="B23">
        <v>33.649478999999999</v>
      </c>
      <c r="C23" s="1">
        <f t="shared" si="2"/>
        <v>-3.8503625597515634E-2</v>
      </c>
      <c r="D23" s="29"/>
      <c r="E23" s="1"/>
      <c r="F23" s="1"/>
      <c r="G23" s="35"/>
    </row>
    <row r="24" spans="1:13">
      <c r="A24" s="16">
        <v>39873</v>
      </c>
      <c r="B24">
        <v>35.751579</v>
      </c>
      <c r="C24" s="1">
        <f t="shared" si="2"/>
        <v>6.247050660130582E-2</v>
      </c>
      <c r="D24" s="29"/>
      <c r="E24" s="1"/>
      <c r="F24" s="1"/>
      <c r="G24" s="35"/>
    </row>
    <row r="25" spans="1:13">
      <c r="A25" s="16">
        <v>39904</v>
      </c>
      <c r="B25">
        <v>36.88353</v>
      </c>
      <c r="C25" s="1">
        <f t="shared" si="2"/>
        <v>3.166156661220465E-2</v>
      </c>
      <c r="D25" s="29"/>
      <c r="E25" s="1"/>
      <c r="F25" s="1"/>
      <c r="G25" s="35"/>
      <c r="J25" s="23" t="s">
        <v>274</v>
      </c>
    </row>
    <row r="26" spans="1:13">
      <c r="A26" s="16">
        <v>39934</v>
      </c>
      <c r="B26">
        <v>39.724857</v>
      </c>
      <c r="C26" s="1">
        <f t="shared" si="2"/>
        <v>7.7035115673581123E-2</v>
      </c>
      <c r="D26" s="29"/>
      <c r="E26" s="1"/>
      <c r="F26" s="1"/>
      <c r="G26" s="35"/>
      <c r="J26" s="3" t="s">
        <v>40</v>
      </c>
      <c r="K26" s="24">
        <v>1.5201207483953234E-3</v>
      </c>
    </row>
    <row r="27" spans="1:13">
      <c r="A27" s="16">
        <v>39965</v>
      </c>
      <c r="B27">
        <v>40.340865999999998</v>
      </c>
      <c r="C27" s="1">
        <f t="shared" si="2"/>
        <v>1.5506890308000232E-2</v>
      </c>
      <c r="D27" s="29"/>
      <c r="E27" s="1"/>
      <c r="F27" s="1"/>
      <c r="G27" s="35"/>
      <c r="J27" s="3" t="s">
        <v>41</v>
      </c>
      <c r="K27" s="24">
        <v>2.6932918047246198E-3</v>
      </c>
    </row>
    <row r="28" spans="1:13">
      <c r="A28" s="16">
        <v>39995</v>
      </c>
      <c r="B28">
        <v>41.726883000000001</v>
      </c>
      <c r="C28" s="1">
        <f t="shared" si="2"/>
        <v>3.4357641206810063E-2</v>
      </c>
      <c r="D28" s="29"/>
      <c r="E28" s="1"/>
      <c r="F28" s="1"/>
      <c r="G28" s="35"/>
      <c r="J28" s="3" t="s">
        <v>42</v>
      </c>
      <c r="K28" s="24">
        <v>6.190314143944553E-3</v>
      </c>
    </row>
    <row r="29" spans="1:13">
      <c r="A29" s="16">
        <v>40026</v>
      </c>
      <c r="B29">
        <v>42.042591000000002</v>
      </c>
      <c r="C29" s="1">
        <f t="shared" si="2"/>
        <v>7.566057594093456E-3</v>
      </c>
      <c r="D29" s="28"/>
      <c r="E29" s="1"/>
      <c r="F29" s="1"/>
      <c r="G29" s="35"/>
      <c r="J29" s="3" t="s">
        <v>43</v>
      </c>
      <c r="K29" s="3" t="e">
        <v>#N/A</v>
      </c>
    </row>
    <row r="30" spans="1:13">
      <c r="A30" s="16">
        <v>40057</v>
      </c>
      <c r="B30">
        <v>43.282302999999999</v>
      </c>
      <c r="C30" s="1">
        <f t="shared" si="2"/>
        <v>2.948705040562305E-2</v>
      </c>
      <c r="D30" s="29"/>
      <c r="E30" s="1"/>
      <c r="F30" s="1"/>
      <c r="G30" s="35"/>
      <c r="J30" s="3" t="s">
        <v>44</v>
      </c>
      <c r="K30" s="24">
        <v>3.276530894587637E-2</v>
      </c>
    </row>
    <row r="31" spans="1:13">
      <c r="A31" s="16">
        <v>40087</v>
      </c>
      <c r="B31">
        <v>43.636505</v>
      </c>
      <c r="C31" s="1">
        <f t="shared" si="2"/>
        <v>8.1835294207888154E-3</v>
      </c>
      <c r="D31" s="29"/>
      <c r="E31" s="1"/>
      <c r="F31" s="1"/>
      <c r="G31" s="35"/>
      <c r="J31" s="3" t="s">
        <v>45</v>
      </c>
      <c r="K31" s="24">
        <v>1.0735654703187263E-3</v>
      </c>
    </row>
    <row r="32" spans="1:13">
      <c r="A32" s="16">
        <v>40118</v>
      </c>
      <c r="B32">
        <v>44.745308000000001</v>
      </c>
      <c r="C32" s="1">
        <f t="shared" si="2"/>
        <v>2.5409986432231468E-2</v>
      </c>
      <c r="D32" s="28"/>
      <c r="E32" s="1"/>
      <c r="F32" s="1"/>
      <c r="G32" s="35"/>
      <c r="J32" s="3" t="s">
        <v>46</v>
      </c>
      <c r="K32" s="25">
        <v>2.1117048459863188</v>
      </c>
    </row>
    <row r="33" spans="1:13">
      <c r="A33" s="16">
        <v>40148</v>
      </c>
      <c r="B33">
        <v>43.012797999999997</v>
      </c>
      <c r="C33" s="1">
        <f t="shared" si="2"/>
        <v>-3.8719366955748846E-2</v>
      </c>
      <c r="D33" s="28"/>
      <c r="E33" s="1"/>
      <c r="F33" s="1"/>
      <c r="G33" s="35"/>
      <c r="J33" s="3" t="s">
        <v>47</v>
      </c>
      <c r="K33" s="25">
        <v>-0.515969624653278</v>
      </c>
    </row>
    <row r="34" spans="1:13">
      <c r="A34" s="16">
        <v>40179</v>
      </c>
      <c r="B34">
        <v>42.538798999999997</v>
      </c>
      <c r="C34" s="1">
        <f t="shared" si="2"/>
        <v>-1.1019952712678638E-2</v>
      </c>
      <c r="D34" s="28"/>
      <c r="E34" s="1"/>
      <c r="F34" s="1"/>
      <c r="G34" s="35"/>
      <c r="J34" s="3" t="s">
        <v>48</v>
      </c>
      <c r="K34" s="24">
        <v>0.22631016052079</v>
      </c>
    </row>
    <row r="35" spans="1:13">
      <c r="A35" s="16">
        <v>40210</v>
      </c>
      <c r="B35">
        <v>42.011234000000002</v>
      </c>
      <c r="C35" s="1">
        <f t="shared" si="2"/>
        <v>-1.2401972138423423E-2</v>
      </c>
      <c r="D35" s="29"/>
      <c r="E35" s="1"/>
      <c r="F35" s="1"/>
      <c r="G35" s="35"/>
      <c r="J35" s="3" t="s">
        <v>49</v>
      </c>
      <c r="K35" s="24">
        <v>-0.1227063386056495</v>
      </c>
    </row>
    <row r="36" spans="1:13">
      <c r="A36" s="16">
        <v>40238</v>
      </c>
      <c r="B36">
        <v>43.036746999999998</v>
      </c>
      <c r="C36" s="1">
        <f t="shared" si="2"/>
        <v>2.4410446977110922E-2</v>
      </c>
      <c r="D36" s="28"/>
      <c r="E36" s="1"/>
      <c r="F36" s="1"/>
      <c r="G36" s="35"/>
      <c r="J36" s="3" t="s">
        <v>50</v>
      </c>
      <c r="K36" s="24">
        <v>0.1036038219151405</v>
      </c>
    </row>
    <row r="37" spans="1:13">
      <c r="A37" s="16">
        <v>40269</v>
      </c>
      <c r="B37">
        <v>43.021214000000001</v>
      </c>
      <c r="C37" s="1">
        <f t="shared" si="2"/>
        <v>-3.6092411910215727E-4</v>
      </c>
      <c r="D37" s="28"/>
      <c r="E37" s="1"/>
      <c r="F37" s="1"/>
      <c r="G37" s="35"/>
      <c r="J37" s="3" t="s">
        <v>51</v>
      </c>
      <c r="K37" s="25">
        <v>0.22497787076250786</v>
      </c>
    </row>
    <row r="38" spans="1:13">
      <c r="A38" s="16">
        <v>40299</v>
      </c>
      <c r="B38">
        <v>40.255679999999998</v>
      </c>
      <c r="C38" s="1">
        <f t="shared" si="2"/>
        <v>-6.4283030227831328E-2</v>
      </c>
      <c r="D38" s="28"/>
      <c r="E38" s="1"/>
      <c r="F38" s="1"/>
      <c r="G38" s="35"/>
      <c r="J38" s="3" t="s">
        <v>16</v>
      </c>
      <c r="K38" s="3">
        <v>148</v>
      </c>
    </row>
    <row r="39" spans="1:13">
      <c r="A39" s="16">
        <v>40330</v>
      </c>
      <c r="B39">
        <v>40.355724000000002</v>
      </c>
      <c r="C39" s="1">
        <f t="shared" si="2"/>
        <v>2.4852145088594124E-3</v>
      </c>
      <c r="D39" s="29"/>
      <c r="E39" s="1"/>
      <c r="F39" s="1"/>
      <c r="G39" s="35"/>
    </row>
    <row r="40" spans="1:13">
      <c r="A40" s="16">
        <v>40360</v>
      </c>
      <c r="B40">
        <v>42.711024999999999</v>
      </c>
      <c r="C40" s="1">
        <f t="shared" si="2"/>
        <v>5.8363492623747737E-2</v>
      </c>
      <c r="D40" s="28"/>
      <c r="E40" s="1"/>
      <c r="F40" s="1"/>
      <c r="G40" s="35"/>
    </row>
    <row r="41" spans="1:13">
      <c r="A41" s="16">
        <v>40391</v>
      </c>
      <c r="B41">
        <v>43.320529999999998</v>
      </c>
      <c r="C41" s="1">
        <f t="shared" si="2"/>
        <v>1.4270437199762842E-2</v>
      </c>
      <c r="D41" s="28"/>
      <c r="E41" s="1"/>
      <c r="F41" s="1"/>
      <c r="G41" s="35"/>
    </row>
    <row r="42" spans="1:13">
      <c r="A42" s="16">
        <v>40422</v>
      </c>
      <c r="B42">
        <v>45.914749</v>
      </c>
      <c r="C42" s="1">
        <f t="shared" si="2"/>
        <v>5.9884285810907656E-2</v>
      </c>
      <c r="D42" s="29"/>
      <c r="E42" s="1"/>
      <c r="F42" s="1"/>
      <c r="G42" s="35"/>
    </row>
    <row r="43" spans="1:13">
      <c r="A43" s="16">
        <v>40452</v>
      </c>
      <c r="B43">
        <v>46.758656000000002</v>
      </c>
      <c r="C43" s="1">
        <f t="shared" si="2"/>
        <v>1.8379867436496333E-2</v>
      </c>
      <c r="D43" s="29"/>
      <c r="E43" s="1"/>
      <c r="F43" s="1"/>
      <c r="G43" s="35"/>
      <c r="J43" s="3" t="s">
        <v>75</v>
      </c>
      <c r="K43" s="3" t="s">
        <v>254</v>
      </c>
      <c r="L43" s="3" t="s">
        <v>54</v>
      </c>
      <c r="M43" s="3" t="s">
        <v>55</v>
      </c>
    </row>
    <row r="44" spans="1:13">
      <c r="A44" s="16">
        <v>40483</v>
      </c>
      <c r="B44">
        <v>44.258186000000002</v>
      </c>
      <c r="C44" s="1">
        <f t="shared" si="2"/>
        <v>-5.3476087935461658E-2</v>
      </c>
      <c r="D44" s="28"/>
      <c r="E44" s="1"/>
      <c r="F44" s="1"/>
      <c r="G44" s="35"/>
      <c r="J44" s="3" t="s">
        <v>56</v>
      </c>
      <c r="K44" s="9">
        <v>-1.77E-2</v>
      </c>
      <c r="L44" s="9">
        <v>8.4599999999999995E-2</v>
      </c>
      <c r="M44" s="9">
        <f>K44-L44</f>
        <v>-0.1023</v>
      </c>
    </row>
    <row r="45" spans="1:13">
      <c r="A45" s="16">
        <v>40513</v>
      </c>
      <c r="B45">
        <v>45.406834000000003</v>
      </c>
      <c r="C45" s="1">
        <f t="shared" si="2"/>
        <v>2.5953345670335359E-2</v>
      </c>
      <c r="D45" s="29"/>
      <c r="E45" s="1"/>
      <c r="F45" s="1"/>
      <c r="G45" s="35"/>
      <c r="J45" s="3" t="s">
        <v>57</v>
      </c>
      <c r="K45" s="9">
        <v>4.0000000000000001E-3</v>
      </c>
      <c r="L45" s="9">
        <v>2.5999999999999999E-3</v>
      </c>
      <c r="M45" s="9">
        <f>K45-L45</f>
        <v>1.4000000000000002E-3</v>
      </c>
    </row>
    <row r="46" spans="1:13">
      <c r="A46" s="16">
        <v>40544</v>
      </c>
      <c r="B46">
        <v>46.428246000000001</v>
      </c>
      <c r="C46" s="1">
        <f t="shared" si="2"/>
        <v>2.2494675581213208E-2</v>
      </c>
      <c r="D46" s="29"/>
      <c r="E46" s="1"/>
      <c r="F46" s="1"/>
      <c r="G46" s="35"/>
      <c r="J46" s="3" t="s">
        <v>58</v>
      </c>
      <c r="K46" s="9">
        <v>9.4000000000000004E-3</v>
      </c>
      <c r="L46" s="9">
        <v>7.1000000000000004E-3</v>
      </c>
      <c r="M46" s="9">
        <f>K46-L46</f>
        <v>2.3E-3</v>
      </c>
    </row>
    <row r="47" spans="1:13">
      <c r="A47" s="16">
        <v>40575</v>
      </c>
      <c r="B47">
        <v>47.541266999999998</v>
      </c>
      <c r="C47" s="1">
        <f t="shared" si="2"/>
        <v>2.3972928031784635E-2</v>
      </c>
      <c r="D47" s="29"/>
      <c r="E47" s="1"/>
      <c r="F47" s="1"/>
      <c r="G47" s="35"/>
      <c r="J47" s="3" t="s">
        <v>59</v>
      </c>
      <c r="K47" s="9">
        <v>2.4899999999999999E-2</v>
      </c>
      <c r="L47" s="9">
        <v>0</v>
      </c>
      <c r="M47" s="9">
        <f>K47-L47</f>
        <v>2.4899999999999999E-2</v>
      </c>
    </row>
    <row r="48" spans="1:13">
      <c r="A48" s="16">
        <v>40603</v>
      </c>
      <c r="B48">
        <v>48.058010000000003</v>
      </c>
      <c r="C48" s="1">
        <f t="shared" si="2"/>
        <v>1.0869356931526575E-2</v>
      </c>
      <c r="D48" s="28"/>
      <c r="E48" s="1"/>
      <c r="F48" s="1"/>
      <c r="G48" s="35"/>
    </row>
    <row r="49" spans="1:14">
      <c r="A49" s="16">
        <v>40634</v>
      </c>
      <c r="B49">
        <v>50.450989</v>
      </c>
      <c r="C49" s="1">
        <f t="shared" si="2"/>
        <v>4.9793551584844886E-2</v>
      </c>
      <c r="D49" s="29"/>
      <c r="E49" s="1"/>
      <c r="F49" s="1"/>
      <c r="G49" s="35"/>
    </row>
    <row r="50" spans="1:14">
      <c r="A50" s="16">
        <v>40664</v>
      </c>
      <c r="B50">
        <v>49.528773999999999</v>
      </c>
      <c r="C50" s="1">
        <f t="shared" si="2"/>
        <v>-1.8279423620417012E-2</v>
      </c>
      <c r="D50" s="28"/>
      <c r="E50" s="1"/>
      <c r="F50" s="1"/>
      <c r="G50" s="35"/>
      <c r="J50" s="23" t="s">
        <v>77</v>
      </c>
      <c r="K50" s="3"/>
    </row>
    <row r="51" spans="1:14">
      <c r="A51" s="16">
        <v>40695</v>
      </c>
      <c r="B51">
        <v>49.226672999999998</v>
      </c>
      <c r="C51" s="1">
        <f t="shared" si="2"/>
        <v>-6.0995049059764384E-3</v>
      </c>
      <c r="D51" s="28"/>
      <c r="E51" s="1"/>
      <c r="F51" s="1"/>
      <c r="G51" s="35"/>
      <c r="J51" s="3" t="s">
        <v>269</v>
      </c>
      <c r="K51" s="9">
        <v>1.4200000000000001E-2</v>
      </c>
    </row>
    <row r="52" spans="1:14">
      <c r="A52" s="16">
        <v>40725</v>
      </c>
      <c r="B52">
        <v>50.315128000000001</v>
      </c>
      <c r="C52" s="1">
        <f t="shared" si="2"/>
        <v>2.2111081933162691E-2</v>
      </c>
      <c r="D52" s="29"/>
      <c r="E52" s="1"/>
      <c r="F52" s="1"/>
      <c r="G52" s="35"/>
      <c r="J52" s="3" t="s">
        <v>270</v>
      </c>
      <c r="K52" s="9">
        <v>1.41E-2</v>
      </c>
    </row>
    <row r="53" spans="1:14">
      <c r="A53" s="16">
        <v>40756</v>
      </c>
      <c r="B53">
        <v>50.091061000000003</v>
      </c>
      <c r="C53" s="1">
        <f t="shared" si="2"/>
        <v>-4.4532729798480997E-3</v>
      </c>
      <c r="D53" s="28"/>
      <c r="E53" s="1"/>
      <c r="F53" s="1"/>
      <c r="G53" s="35"/>
      <c r="J53" s="3" t="s">
        <v>271</v>
      </c>
      <c r="K53" s="9">
        <v>1.4E-2</v>
      </c>
    </row>
    <row r="54" spans="1:14">
      <c r="A54" s="16">
        <v>40787</v>
      </c>
      <c r="B54">
        <v>46.433674000000003</v>
      </c>
      <c r="C54" s="1">
        <f t="shared" si="2"/>
        <v>-7.3014764051414272E-2</v>
      </c>
      <c r="D54" s="28"/>
      <c r="E54" s="1"/>
      <c r="F54" s="1"/>
      <c r="G54" s="35"/>
      <c r="J54" s="3" t="s">
        <v>272</v>
      </c>
      <c r="K54" s="9">
        <v>1.37E-2</v>
      </c>
    </row>
    <row r="55" spans="1:14">
      <c r="A55" s="16">
        <v>40817</v>
      </c>
      <c r="B55">
        <v>48.047362999999997</v>
      </c>
      <c r="C55" s="1">
        <f t="shared" si="2"/>
        <v>3.4752559101827618E-2</v>
      </c>
      <c r="D55" s="28"/>
      <c r="E55" s="1"/>
      <c r="F55" s="1"/>
      <c r="G55" s="35"/>
      <c r="J55" s="3" t="s">
        <v>273</v>
      </c>
      <c r="K55" s="9">
        <v>1.2999999999999999E-2</v>
      </c>
    </row>
    <row r="56" spans="1:14" ht="17">
      <c r="A56" s="16">
        <v>40848</v>
      </c>
      <c r="B56">
        <v>46.770760000000003</v>
      </c>
      <c r="C56" s="1">
        <f t="shared" si="2"/>
        <v>-2.6569678756355408E-2</v>
      </c>
      <c r="D56" s="29"/>
      <c r="E56" s="1"/>
      <c r="F56" s="1"/>
      <c r="G56" s="35"/>
      <c r="M56" s="46"/>
      <c r="N56" s="47"/>
    </row>
    <row r="57" spans="1:14" ht="17">
      <c r="A57" s="16">
        <v>40878</v>
      </c>
      <c r="B57">
        <v>46.300983000000002</v>
      </c>
      <c r="C57" s="1">
        <f t="shared" si="2"/>
        <v>-1.0044245592759293E-2</v>
      </c>
      <c r="D57" s="28"/>
      <c r="E57" s="1"/>
      <c r="F57" s="1"/>
      <c r="G57" s="35"/>
      <c r="M57" s="46"/>
      <c r="N57" s="47"/>
    </row>
    <row r="58" spans="1:14" ht="17">
      <c r="A58" s="16">
        <v>40909</v>
      </c>
      <c r="B58">
        <v>49.333835999999998</v>
      </c>
      <c r="C58" s="1">
        <f t="shared" si="2"/>
        <v>6.5502993748534299E-2</v>
      </c>
      <c r="D58" s="29"/>
      <c r="E58" s="1"/>
      <c r="F58" s="1"/>
      <c r="G58" s="35"/>
      <c r="M58" s="46"/>
      <c r="N58" s="47"/>
    </row>
    <row r="59" spans="1:14" ht="17">
      <c r="A59" s="16">
        <v>40940</v>
      </c>
      <c r="B59">
        <v>50.521915</v>
      </c>
      <c r="C59" s="1">
        <f t="shared" si="2"/>
        <v>2.4082437051925254E-2</v>
      </c>
      <c r="D59" s="29"/>
      <c r="E59" s="1"/>
      <c r="F59" s="1"/>
      <c r="G59" s="35"/>
      <c r="M59" s="46"/>
      <c r="N59" s="47"/>
    </row>
    <row r="60" spans="1:14" ht="17">
      <c r="A60" s="16">
        <v>40969</v>
      </c>
      <c r="B60">
        <v>50.222831999999997</v>
      </c>
      <c r="C60" s="1">
        <f t="shared" si="2"/>
        <v>-5.9198666558859525E-3</v>
      </c>
      <c r="D60" s="29"/>
      <c r="E60" s="1"/>
      <c r="F60" s="1"/>
      <c r="G60" s="35"/>
      <c r="M60" s="46"/>
      <c r="N60" s="47"/>
    </row>
    <row r="61" spans="1:14">
      <c r="A61" s="16">
        <v>41000</v>
      </c>
      <c r="B61">
        <v>50.430534000000002</v>
      </c>
      <c r="C61" s="1">
        <f t="shared" si="2"/>
        <v>4.1356090791535571E-3</v>
      </c>
      <c r="D61" s="29"/>
      <c r="E61" s="1"/>
      <c r="F61" s="1"/>
      <c r="G61" s="35"/>
    </row>
    <row r="62" spans="1:14">
      <c r="A62" s="16">
        <v>41030</v>
      </c>
      <c r="B62">
        <v>48.311942999999999</v>
      </c>
      <c r="C62" s="1">
        <f t="shared" si="2"/>
        <v>-4.201008460469613E-2</v>
      </c>
      <c r="D62" s="29"/>
      <c r="E62" s="1"/>
      <c r="F62" s="1"/>
      <c r="G62" s="35"/>
      <c r="J62" t="s">
        <v>60</v>
      </c>
    </row>
    <row r="63" spans="1:14">
      <c r="A63" s="16">
        <v>41061</v>
      </c>
      <c r="B63">
        <v>48.918438000000002</v>
      </c>
      <c r="C63" s="1">
        <f t="shared" si="2"/>
        <v>1.2553728174418577E-2</v>
      </c>
      <c r="D63" s="28"/>
      <c r="E63" s="1"/>
      <c r="F63" s="1"/>
      <c r="G63" s="35"/>
      <c r="J63" t="s">
        <v>61</v>
      </c>
    </row>
    <row r="64" spans="1:14">
      <c r="A64" s="16">
        <v>41091</v>
      </c>
      <c r="B64">
        <v>50.064964000000003</v>
      </c>
      <c r="C64" s="1">
        <f t="shared" si="2"/>
        <v>2.3437502235864605E-2</v>
      </c>
      <c r="D64" s="29"/>
      <c r="E64" s="1"/>
      <c r="F64" s="1"/>
      <c r="G64" s="35"/>
      <c r="J64" t="s">
        <v>62</v>
      </c>
    </row>
    <row r="65" spans="1:7">
      <c r="A65" s="16">
        <v>41122</v>
      </c>
      <c r="B65">
        <v>50.530228000000001</v>
      </c>
      <c r="C65" s="1">
        <f t="shared" si="2"/>
        <v>9.2932055239267619E-3</v>
      </c>
      <c r="D65" s="29"/>
      <c r="E65" s="1"/>
      <c r="F65" s="1"/>
      <c r="G65" s="35"/>
    </row>
    <row r="66" spans="1:7">
      <c r="A66" s="16">
        <v>41153</v>
      </c>
      <c r="B66">
        <v>51.66769</v>
      </c>
      <c r="C66" s="1">
        <f t="shared" si="2"/>
        <v>2.2510525778747681E-2</v>
      </c>
      <c r="D66" s="28"/>
      <c r="E66" s="1"/>
      <c r="F66" s="1"/>
      <c r="G66" s="35"/>
    </row>
    <row r="67" spans="1:7">
      <c r="A67" s="16">
        <v>41183</v>
      </c>
      <c r="B67">
        <v>51.860233000000001</v>
      </c>
      <c r="C67" s="1">
        <f t="shared" si="2"/>
        <v>3.7265648996500644E-3</v>
      </c>
      <c r="D67" s="28"/>
      <c r="E67" s="1"/>
      <c r="F67" s="1"/>
      <c r="G67" s="35"/>
    </row>
    <row r="68" spans="1:7">
      <c r="A68" s="16">
        <v>41214</v>
      </c>
      <c r="B68">
        <v>52.894016000000001</v>
      </c>
      <c r="C68" s="1">
        <f t="shared" si="2"/>
        <v>1.9934021507385102E-2</v>
      </c>
      <c r="D68" s="29"/>
      <c r="E68" s="1"/>
      <c r="F68" s="1"/>
      <c r="G68" s="35"/>
    </row>
    <row r="69" spans="1:7">
      <c r="A69" s="16">
        <v>41244</v>
      </c>
      <c r="B69">
        <v>53.220680000000002</v>
      </c>
      <c r="C69" s="1">
        <f t="shared" si="2"/>
        <v>6.17582147666762E-3</v>
      </c>
      <c r="D69" s="29"/>
      <c r="E69" s="1"/>
      <c r="F69" s="1"/>
      <c r="G69" s="35"/>
    </row>
    <row r="70" spans="1:7">
      <c r="A70" s="16">
        <v>41275</v>
      </c>
      <c r="B70">
        <v>54.000801000000003</v>
      </c>
      <c r="C70" s="1">
        <f t="shared" si="2"/>
        <v>1.4658230597579758E-2</v>
      </c>
      <c r="D70" s="29"/>
      <c r="E70" s="1"/>
      <c r="F70" s="1"/>
      <c r="G70" s="35"/>
    </row>
    <row r="71" spans="1:7">
      <c r="A71" s="16">
        <v>41306</v>
      </c>
      <c r="B71">
        <v>52.768101000000001</v>
      </c>
      <c r="C71" s="1">
        <f t="shared" si="2"/>
        <v>-2.2827439170763464E-2</v>
      </c>
      <c r="D71" s="28"/>
      <c r="E71" s="1"/>
      <c r="F71" s="1"/>
      <c r="G71" s="35"/>
    </row>
    <row r="72" spans="1:7">
      <c r="A72" s="16">
        <v>41334</v>
      </c>
      <c r="B72">
        <v>52.785099000000002</v>
      </c>
      <c r="C72" s="1">
        <f t="shared" si="2"/>
        <v>3.2212643013251885E-4</v>
      </c>
      <c r="D72" s="28"/>
      <c r="E72" s="1"/>
      <c r="F72" s="1"/>
      <c r="G72" s="35"/>
    </row>
    <row r="73" spans="1:7">
      <c r="A73" s="16">
        <v>41365</v>
      </c>
      <c r="B73">
        <v>54.347912000000001</v>
      </c>
      <c r="C73" s="1">
        <f t="shared" si="2"/>
        <v>2.9607086651480818E-2</v>
      </c>
      <c r="D73" s="28"/>
      <c r="E73" s="1"/>
      <c r="F73" s="1"/>
      <c r="G73" s="35"/>
    </row>
    <row r="74" spans="1:7">
      <c r="A74" s="16">
        <v>41395</v>
      </c>
      <c r="B74">
        <v>51.493343000000003</v>
      </c>
      <c r="C74" s="1">
        <f t="shared" si="2"/>
        <v>-5.2523986570081949E-2</v>
      </c>
      <c r="D74" s="28"/>
      <c r="E74" s="1"/>
      <c r="F74" s="1"/>
      <c r="G74" s="35"/>
    </row>
    <row r="75" spans="1:7">
      <c r="A75" s="16">
        <v>41426</v>
      </c>
      <c r="B75">
        <v>49.156464</v>
      </c>
      <c r="C75" s="1">
        <f t="shared" si="2"/>
        <v>-4.5382157456741568E-2</v>
      </c>
      <c r="D75" s="28"/>
      <c r="E75" s="1"/>
      <c r="F75" s="1"/>
      <c r="G75" s="35"/>
    </row>
    <row r="76" spans="1:7">
      <c r="A76" s="16">
        <v>41456</v>
      </c>
      <c r="B76">
        <v>50.159011999999997</v>
      </c>
      <c r="C76" s="1">
        <f t="shared" si="2"/>
        <v>2.0395038992226944E-2</v>
      </c>
      <c r="D76" s="28"/>
      <c r="E76" s="1"/>
      <c r="F76" s="1"/>
      <c r="G76" s="35"/>
    </row>
    <row r="77" spans="1:7">
      <c r="A77" s="16">
        <v>41487</v>
      </c>
      <c r="B77">
        <v>49.248589000000003</v>
      </c>
      <c r="C77" s="1">
        <f t="shared" si="2"/>
        <v>-1.815073630238162E-2</v>
      </c>
      <c r="D77" s="28"/>
      <c r="E77" s="1"/>
      <c r="F77" s="1"/>
      <c r="G77" s="35"/>
    </row>
    <row r="78" spans="1:7">
      <c r="A78" s="16">
        <v>41518</v>
      </c>
      <c r="B78">
        <v>51.181086999999998</v>
      </c>
      <c r="C78" s="1">
        <f t="shared" si="2"/>
        <v>3.923966227743092E-2</v>
      </c>
      <c r="D78" s="28"/>
      <c r="E78" s="1"/>
      <c r="F78" s="1"/>
      <c r="G78" s="35"/>
    </row>
    <row r="79" spans="1:7">
      <c r="A79" s="16">
        <v>41548</v>
      </c>
      <c r="B79">
        <v>51.885371999999997</v>
      </c>
      <c r="C79" s="1">
        <f t="shared" ref="C79:C142" si="3">(B79/B78)-1</f>
        <v>1.376064951492717E-2</v>
      </c>
      <c r="D79" s="29"/>
      <c r="E79" s="1"/>
      <c r="F79" s="1"/>
      <c r="G79" s="35"/>
    </row>
    <row r="80" spans="1:7">
      <c r="A80" s="16">
        <v>41579</v>
      </c>
      <c r="B80">
        <v>50.988875999999998</v>
      </c>
      <c r="C80" s="1">
        <f t="shared" si="3"/>
        <v>-1.7278395922457612E-2</v>
      </c>
      <c r="D80" s="28"/>
      <c r="E80" s="1"/>
      <c r="F80" s="1"/>
      <c r="G80" s="35"/>
    </row>
    <row r="81" spans="1:7">
      <c r="A81" s="16">
        <v>41609</v>
      </c>
      <c r="B81">
        <v>50.503188999999999</v>
      </c>
      <c r="C81" s="1">
        <f t="shared" si="3"/>
        <v>-9.525352157203848E-3</v>
      </c>
      <c r="D81" s="28"/>
      <c r="E81" s="1"/>
      <c r="F81" s="1"/>
      <c r="G81" s="35"/>
    </row>
    <row r="82" spans="1:7">
      <c r="A82" s="16">
        <v>41640</v>
      </c>
      <c r="B82">
        <v>50.220683999999999</v>
      </c>
      <c r="C82" s="1">
        <f t="shared" si="3"/>
        <v>-5.593805175352351E-3</v>
      </c>
      <c r="D82" s="29"/>
      <c r="E82" s="1"/>
      <c r="F82" s="1"/>
      <c r="G82" s="35"/>
    </row>
    <row r="83" spans="1:7">
      <c r="A83" s="16">
        <v>41671</v>
      </c>
      <c r="B83">
        <v>51.665011999999997</v>
      </c>
      <c r="C83" s="1">
        <f t="shared" si="3"/>
        <v>2.8759624221764923E-2</v>
      </c>
      <c r="D83" s="29"/>
      <c r="E83" s="1"/>
      <c r="F83" s="1"/>
      <c r="G83" s="35"/>
    </row>
    <row r="84" spans="1:7">
      <c r="A84" s="16">
        <v>41699</v>
      </c>
      <c r="B84">
        <v>52.282761000000001</v>
      </c>
      <c r="C84" s="1">
        <f t="shared" si="3"/>
        <v>1.1956815184713365E-2</v>
      </c>
      <c r="D84" s="28"/>
      <c r="E84" s="1"/>
      <c r="F84" s="1"/>
      <c r="G84" s="35"/>
    </row>
    <row r="85" spans="1:7">
      <c r="A85" s="16">
        <v>41730</v>
      </c>
      <c r="B85">
        <v>53.355246999999999</v>
      </c>
      <c r="C85" s="1">
        <f t="shared" si="3"/>
        <v>2.05131859811305E-2</v>
      </c>
      <c r="D85" s="29"/>
      <c r="E85" s="1"/>
      <c r="F85" s="1"/>
      <c r="G85" s="35"/>
    </row>
    <row r="86" spans="1:7">
      <c r="A86" s="16">
        <v>41760</v>
      </c>
      <c r="B86">
        <v>53.686306000000002</v>
      </c>
      <c r="C86" s="1">
        <f t="shared" si="3"/>
        <v>6.204806811221486E-3</v>
      </c>
      <c r="D86" s="28"/>
      <c r="E86" s="1"/>
      <c r="F86" s="1"/>
      <c r="G86" s="35"/>
    </row>
    <row r="87" spans="1:7">
      <c r="A87" s="16">
        <v>41791</v>
      </c>
      <c r="B87">
        <v>54.28492</v>
      </c>
      <c r="C87" s="1">
        <f t="shared" si="3"/>
        <v>1.1150217711011878E-2</v>
      </c>
      <c r="D87" s="28"/>
      <c r="E87" s="1"/>
      <c r="F87" s="1"/>
      <c r="G87" s="35"/>
    </row>
    <row r="88" spans="1:7">
      <c r="A88" s="16">
        <v>41821</v>
      </c>
      <c r="B88">
        <v>54.497585000000001</v>
      </c>
      <c r="C88" s="1">
        <f t="shared" si="3"/>
        <v>3.9175704781364562E-3</v>
      </c>
      <c r="D88" s="28"/>
      <c r="E88" s="1"/>
      <c r="F88" s="1"/>
      <c r="G88" s="35"/>
    </row>
    <row r="89" spans="1:7">
      <c r="A89" s="16">
        <v>41852</v>
      </c>
      <c r="B89">
        <v>54.841095000000003</v>
      </c>
      <c r="C89" s="1">
        <f t="shared" si="3"/>
        <v>6.3032150874209325E-3</v>
      </c>
      <c r="D89" s="28"/>
      <c r="E89" s="1"/>
      <c r="F89" s="1"/>
      <c r="G89" s="35"/>
    </row>
    <row r="90" spans="1:7">
      <c r="A90" s="16">
        <v>41883</v>
      </c>
      <c r="B90">
        <v>51.864173999999998</v>
      </c>
      <c r="C90" s="1">
        <f t="shared" si="3"/>
        <v>-5.4282668863559369E-2</v>
      </c>
      <c r="D90" s="29"/>
      <c r="E90" s="1"/>
      <c r="F90" s="1"/>
      <c r="G90" s="35"/>
    </row>
    <row r="91" spans="1:7">
      <c r="A91" s="16">
        <v>41913</v>
      </c>
      <c r="B91">
        <v>52.140059999999998</v>
      </c>
      <c r="C91" s="1">
        <f t="shared" si="3"/>
        <v>5.3193944629292833E-3</v>
      </c>
      <c r="D91" s="28"/>
      <c r="E91" s="1"/>
      <c r="F91" s="1"/>
      <c r="G91" s="35"/>
    </row>
    <row r="92" spans="1:7">
      <c r="A92" s="16">
        <v>41944</v>
      </c>
      <c r="B92">
        <v>51.927760999999997</v>
      </c>
      <c r="C92" s="1">
        <f t="shared" si="3"/>
        <v>-4.071706093165206E-3</v>
      </c>
      <c r="D92" s="29"/>
      <c r="E92" s="1"/>
      <c r="F92" s="1"/>
      <c r="G92" s="35"/>
    </row>
    <row r="93" spans="1:7">
      <c r="A93" s="16">
        <v>41974</v>
      </c>
      <c r="B93">
        <v>50.401035</v>
      </c>
      <c r="C93" s="1">
        <f t="shared" si="3"/>
        <v>-2.9400959536845739E-2</v>
      </c>
      <c r="D93" s="28"/>
      <c r="E93" s="1"/>
      <c r="F93" s="1"/>
      <c r="G93" s="35"/>
    </row>
    <row r="94" spans="1:7">
      <c r="A94" s="16">
        <v>42005</v>
      </c>
      <c r="B94">
        <v>49.974499000000002</v>
      </c>
      <c r="C94" s="1">
        <f t="shared" si="3"/>
        <v>-8.4628420825088035E-3</v>
      </c>
      <c r="D94" s="28"/>
      <c r="E94" s="1"/>
      <c r="F94" s="1"/>
      <c r="G94" s="35"/>
    </row>
    <row r="95" spans="1:7">
      <c r="A95" s="16">
        <v>42036</v>
      </c>
      <c r="B95">
        <v>49.644657000000002</v>
      </c>
      <c r="C95" s="1">
        <f t="shared" si="3"/>
        <v>-6.6002062371850467E-3</v>
      </c>
      <c r="D95" s="28"/>
      <c r="E95" s="1"/>
      <c r="F95" s="1"/>
      <c r="G95" s="35"/>
    </row>
    <row r="96" spans="1:7">
      <c r="A96" s="16">
        <v>42064</v>
      </c>
      <c r="B96">
        <v>48.637329000000001</v>
      </c>
      <c r="C96" s="1">
        <f t="shared" si="3"/>
        <v>-2.0290763616314211E-2</v>
      </c>
      <c r="D96" s="29"/>
      <c r="E96" s="1"/>
      <c r="F96" s="1"/>
      <c r="G96" s="35"/>
    </row>
    <row r="97" spans="1:7">
      <c r="A97" s="16">
        <v>42095</v>
      </c>
      <c r="B97">
        <v>50.723300999999999</v>
      </c>
      <c r="C97" s="1">
        <f t="shared" si="3"/>
        <v>4.2888292652748294E-2</v>
      </c>
      <c r="D97" s="29"/>
      <c r="E97" s="1"/>
      <c r="F97" s="1"/>
      <c r="G97" s="35"/>
    </row>
    <row r="98" spans="1:7">
      <c r="A98" s="16">
        <v>42125</v>
      </c>
      <c r="B98">
        <v>49.091965000000002</v>
      </c>
      <c r="C98" s="1">
        <f t="shared" si="3"/>
        <v>-3.2161471509908224E-2</v>
      </c>
      <c r="D98" s="29"/>
      <c r="E98" s="1"/>
      <c r="F98" s="1"/>
      <c r="G98" s="35"/>
    </row>
    <row r="99" spans="1:7">
      <c r="A99" s="16">
        <v>42156</v>
      </c>
      <c r="B99">
        <v>48.949325999999999</v>
      </c>
      <c r="C99" s="1">
        <f t="shared" si="3"/>
        <v>-2.9055467631007303E-3</v>
      </c>
      <c r="D99" s="29"/>
      <c r="E99" s="1"/>
      <c r="F99" s="1"/>
      <c r="G99" s="35"/>
    </row>
    <row r="100" spans="1:7">
      <c r="A100" s="16">
        <v>42186</v>
      </c>
      <c r="B100">
        <v>48.262917000000002</v>
      </c>
      <c r="C100" s="1">
        <f t="shared" si="3"/>
        <v>-1.4022848853935121E-2</v>
      </c>
      <c r="D100" s="28"/>
      <c r="E100" s="1"/>
      <c r="F100" s="1"/>
      <c r="G100" s="35"/>
    </row>
    <row r="101" spans="1:7">
      <c r="A101" s="16">
        <v>42217</v>
      </c>
      <c r="B101">
        <v>46.720711000000001</v>
      </c>
      <c r="C101" s="1">
        <f t="shared" si="3"/>
        <v>-3.1954264181752623E-2</v>
      </c>
      <c r="D101" s="29"/>
      <c r="E101" s="1"/>
      <c r="F101" s="1"/>
      <c r="G101" s="35"/>
    </row>
    <row r="102" spans="1:7">
      <c r="A102" s="16">
        <v>42248</v>
      </c>
      <c r="B102">
        <v>46.390884</v>
      </c>
      <c r="C102" s="1">
        <f t="shared" si="3"/>
        <v>-7.0595458189838256E-3</v>
      </c>
      <c r="D102" s="29"/>
      <c r="E102" s="1"/>
      <c r="F102" s="1"/>
      <c r="G102" s="35"/>
    </row>
    <row r="103" spans="1:7">
      <c r="A103" s="16">
        <v>42278</v>
      </c>
      <c r="B103">
        <v>46.916836000000004</v>
      </c>
      <c r="C103" s="1">
        <f t="shared" si="3"/>
        <v>1.1337399821913285E-2</v>
      </c>
      <c r="D103" s="28"/>
      <c r="E103" s="1"/>
      <c r="F103" s="1"/>
      <c r="G103" s="35"/>
    </row>
    <row r="104" spans="1:7">
      <c r="A104" s="16">
        <v>42309</v>
      </c>
      <c r="B104">
        <v>46.185848</v>
      </c>
      <c r="C104" s="1">
        <f t="shared" si="3"/>
        <v>-1.558050504513997E-2</v>
      </c>
      <c r="D104" s="29"/>
      <c r="E104" s="1"/>
      <c r="F104" s="1"/>
      <c r="G104" s="35"/>
    </row>
    <row r="105" spans="1:7">
      <c r="A105" s="16">
        <v>42339</v>
      </c>
      <c r="B105">
        <v>44.893253000000001</v>
      </c>
      <c r="C105" s="1">
        <f t="shared" si="3"/>
        <v>-2.7986819685545172E-2</v>
      </c>
      <c r="D105" s="28"/>
      <c r="E105" s="1"/>
      <c r="F105" s="1"/>
      <c r="G105" s="35"/>
    </row>
    <row r="106" spans="1:7">
      <c r="A106" s="16">
        <v>42370</v>
      </c>
      <c r="B106">
        <v>45.365768000000003</v>
      </c>
      <c r="C106" s="1">
        <f t="shared" si="3"/>
        <v>1.0525300984537633E-2</v>
      </c>
      <c r="D106" s="29"/>
      <c r="E106" s="1"/>
      <c r="F106" s="1"/>
      <c r="G106" s="35"/>
    </row>
    <row r="107" spans="1:7">
      <c r="A107" s="16">
        <v>42401</v>
      </c>
      <c r="B107">
        <v>45.537064000000001</v>
      </c>
      <c r="C107" s="1">
        <f t="shared" si="3"/>
        <v>3.7758866994161977E-3</v>
      </c>
      <c r="D107" s="29"/>
      <c r="E107" s="1"/>
      <c r="F107" s="1"/>
      <c r="G107" s="35"/>
    </row>
    <row r="108" spans="1:7">
      <c r="A108" s="16">
        <v>42430</v>
      </c>
      <c r="B108">
        <v>48.935898000000002</v>
      </c>
      <c r="C108" s="1">
        <f t="shared" si="3"/>
        <v>7.4638848038160788E-2</v>
      </c>
      <c r="D108" s="28"/>
      <c r="E108" s="1"/>
      <c r="F108" s="1"/>
      <c r="G108" s="35"/>
    </row>
    <row r="109" spans="1:7">
      <c r="A109" s="16">
        <v>42461</v>
      </c>
      <c r="B109">
        <v>49.494843000000003</v>
      </c>
      <c r="C109" s="1">
        <f t="shared" si="3"/>
        <v>1.1421983101239874E-2</v>
      </c>
      <c r="D109" s="29"/>
      <c r="E109" s="1"/>
      <c r="F109" s="1"/>
      <c r="G109" s="35"/>
    </row>
    <row r="110" spans="1:7">
      <c r="A110" s="16">
        <v>42491</v>
      </c>
      <c r="B110">
        <v>47.971237000000002</v>
      </c>
      <c r="C110" s="1">
        <f t="shared" si="3"/>
        <v>-3.0783126233979607E-2</v>
      </c>
      <c r="D110" s="29"/>
      <c r="E110" s="1"/>
      <c r="F110" s="1"/>
      <c r="G110" s="35"/>
    </row>
    <row r="111" spans="1:7">
      <c r="A111" s="16">
        <v>42522</v>
      </c>
      <c r="B111">
        <v>49.503860000000003</v>
      </c>
      <c r="C111" s="1">
        <f t="shared" si="3"/>
        <v>3.1948790480428979E-2</v>
      </c>
      <c r="D111" s="28"/>
      <c r="E111" s="1"/>
      <c r="F111" s="1"/>
      <c r="G111" s="35"/>
    </row>
    <row r="112" spans="1:7">
      <c r="A112" s="16">
        <v>42552</v>
      </c>
      <c r="B112">
        <v>49.927588999999998</v>
      </c>
      <c r="C112" s="1">
        <f t="shared" si="3"/>
        <v>8.5595143489820558E-3</v>
      </c>
      <c r="D112" s="29"/>
      <c r="E112" s="1"/>
      <c r="F112" s="1"/>
      <c r="G112" s="35"/>
    </row>
    <row r="113" spans="1:7">
      <c r="A113" s="16">
        <v>42583</v>
      </c>
      <c r="B113">
        <v>50.946334999999998</v>
      </c>
      <c r="C113" s="1">
        <f t="shared" si="3"/>
        <v>2.0404470161777599E-2</v>
      </c>
      <c r="D113" s="29"/>
      <c r="E113" s="1"/>
      <c r="F113" s="1"/>
      <c r="G113" s="35"/>
    </row>
    <row r="114" spans="1:7">
      <c r="A114" s="16">
        <v>42614</v>
      </c>
      <c r="B114">
        <v>51.334003000000003</v>
      </c>
      <c r="C114" s="1">
        <f t="shared" si="3"/>
        <v>7.6093402989636516E-3</v>
      </c>
      <c r="D114" s="29"/>
      <c r="E114" s="1"/>
      <c r="F114" s="1"/>
      <c r="G114" s="35"/>
    </row>
    <row r="115" spans="1:7">
      <c r="A115" s="16">
        <v>42644</v>
      </c>
      <c r="B115">
        <v>49.801369000000001</v>
      </c>
      <c r="C115" s="1">
        <f t="shared" si="3"/>
        <v>-2.9856117006889171E-2</v>
      </c>
      <c r="D115" s="29"/>
      <c r="E115" s="1"/>
      <c r="F115" s="1"/>
      <c r="G115" s="35"/>
    </row>
    <row r="116" spans="1:7">
      <c r="A116" s="16">
        <v>42675</v>
      </c>
      <c r="B116">
        <v>47.078704999999999</v>
      </c>
      <c r="C116" s="1">
        <f t="shared" si="3"/>
        <v>-5.4670464982599198E-2</v>
      </c>
      <c r="D116" s="28"/>
      <c r="E116" s="1"/>
      <c r="F116" s="1"/>
      <c r="G116" s="35"/>
    </row>
    <row r="117" spans="1:7">
      <c r="A117" s="16">
        <v>42705</v>
      </c>
      <c r="B117">
        <v>46.898395999999998</v>
      </c>
      <c r="C117" s="1">
        <f t="shared" si="3"/>
        <v>-3.8299481687102954E-3</v>
      </c>
      <c r="D117" s="28"/>
      <c r="E117" s="1"/>
      <c r="F117" s="1"/>
      <c r="G117" s="35"/>
    </row>
    <row r="118" spans="1:7">
      <c r="A118" s="16">
        <v>42736</v>
      </c>
      <c r="B118">
        <v>48.647556000000002</v>
      </c>
      <c r="C118" s="1">
        <f t="shared" si="3"/>
        <v>3.729679795445473E-2</v>
      </c>
      <c r="D118" s="29"/>
      <c r="E118" s="1"/>
      <c r="F118" s="1"/>
      <c r="G118" s="35"/>
    </row>
    <row r="119" spans="1:7">
      <c r="A119" s="16">
        <v>42767</v>
      </c>
      <c r="B119">
        <v>49.688450000000003</v>
      </c>
      <c r="C119" s="1">
        <f t="shared" si="3"/>
        <v>2.1396635012866927E-2</v>
      </c>
      <c r="D119" s="29"/>
      <c r="E119" s="1"/>
      <c r="F119" s="1"/>
      <c r="G119" s="35"/>
    </row>
    <row r="120" spans="1:7">
      <c r="A120" s="16">
        <v>42795</v>
      </c>
      <c r="B120">
        <v>50.044544000000002</v>
      </c>
      <c r="C120" s="1">
        <f t="shared" si="3"/>
        <v>7.1665346775759975E-3</v>
      </c>
      <c r="D120" s="28"/>
      <c r="E120" s="1"/>
      <c r="F120" s="1"/>
      <c r="G120" s="35"/>
    </row>
    <row r="121" spans="1:7">
      <c r="A121" s="16">
        <v>42826</v>
      </c>
      <c r="B121">
        <v>50.519333000000003</v>
      </c>
      <c r="C121" s="1">
        <f t="shared" si="3"/>
        <v>9.487327929294409E-3</v>
      </c>
      <c r="D121" s="29"/>
      <c r="E121" s="1"/>
      <c r="F121" s="1"/>
      <c r="G121" s="35"/>
    </row>
    <row r="122" spans="1:7">
      <c r="A122" s="16">
        <v>42856</v>
      </c>
      <c r="B122">
        <v>50.820647999999998</v>
      </c>
      <c r="C122" s="1">
        <f t="shared" si="3"/>
        <v>5.9643503210937698E-3</v>
      </c>
      <c r="D122" s="28"/>
      <c r="E122" s="1"/>
      <c r="F122" s="1"/>
      <c r="G122" s="35"/>
    </row>
    <row r="123" spans="1:7">
      <c r="A123" s="16">
        <v>42887</v>
      </c>
      <c r="B123">
        <v>50.729336000000004</v>
      </c>
      <c r="C123" s="1">
        <f t="shared" si="3"/>
        <v>-1.7967500138919013E-3</v>
      </c>
      <c r="D123" s="29"/>
      <c r="E123" s="1"/>
      <c r="F123" s="1"/>
      <c r="G123" s="35"/>
    </row>
    <row r="124" spans="1:7">
      <c r="A124" s="16">
        <v>42917</v>
      </c>
      <c r="B124">
        <v>51.998474000000002</v>
      </c>
      <c r="C124" s="1">
        <f t="shared" si="3"/>
        <v>2.5017831891195996E-2</v>
      </c>
      <c r="D124" s="29"/>
      <c r="E124" s="1"/>
      <c r="F124" s="1"/>
      <c r="G124" s="35"/>
    </row>
    <row r="125" spans="1:7">
      <c r="A125" s="16">
        <v>42948</v>
      </c>
      <c r="B125">
        <v>52.756309999999999</v>
      </c>
      <c r="C125" s="1">
        <f t="shared" si="3"/>
        <v>1.4574196927394478E-2</v>
      </c>
      <c r="D125" s="28"/>
      <c r="E125" s="1"/>
      <c r="F125" s="1"/>
      <c r="G125" s="35"/>
    </row>
    <row r="126" spans="1:7">
      <c r="A126" s="16">
        <v>42979</v>
      </c>
      <c r="B126">
        <v>52.327187000000002</v>
      </c>
      <c r="C126" s="1">
        <f t="shared" si="3"/>
        <v>-8.1340601721385797E-3</v>
      </c>
      <c r="D126" s="28"/>
      <c r="E126" s="1"/>
      <c r="F126" s="1"/>
      <c r="G126" s="35"/>
    </row>
    <row r="127" spans="1:7">
      <c r="A127" s="16">
        <v>43009</v>
      </c>
      <c r="B127">
        <v>51.426754000000003</v>
      </c>
      <c r="C127" s="1">
        <f t="shared" si="3"/>
        <v>-1.7207747093303527E-2</v>
      </c>
      <c r="D127" s="28"/>
      <c r="E127" s="1"/>
      <c r="F127" s="1"/>
      <c r="G127" s="35"/>
    </row>
    <row r="128" spans="1:7">
      <c r="A128" s="16">
        <v>43040</v>
      </c>
      <c r="B128">
        <v>52.034618000000002</v>
      </c>
      <c r="C128" s="1">
        <f t="shared" si="3"/>
        <v>1.1819995483284718E-2</v>
      </c>
      <c r="D128" s="28"/>
      <c r="E128" s="1"/>
      <c r="F128" s="1"/>
      <c r="G128" s="35"/>
    </row>
    <row r="129" spans="1:7">
      <c r="A129" s="16">
        <v>43070</v>
      </c>
      <c r="B129">
        <v>52.794562999999997</v>
      </c>
      <c r="C129" s="1">
        <f t="shared" si="3"/>
        <v>1.4604604188696024E-2</v>
      </c>
      <c r="D129" s="28"/>
      <c r="E129" s="1"/>
      <c r="F129" s="1"/>
      <c r="G129" s="35"/>
    </row>
    <row r="130" spans="1:7">
      <c r="A130" s="16">
        <v>43101</v>
      </c>
      <c r="B130">
        <v>55.854061000000002</v>
      </c>
      <c r="C130" s="1">
        <f t="shared" si="3"/>
        <v>5.7951005295753699E-2</v>
      </c>
      <c r="D130" s="28"/>
      <c r="E130" s="1"/>
      <c r="F130" s="1"/>
      <c r="G130" s="35"/>
    </row>
    <row r="131" spans="1:7">
      <c r="A131" s="16">
        <v>43132</v>
      </c>
      <c r="B131">
        <v>54.578719999999997</v>
      </c>
      <c r="C131" s="1">
        <f t="shared" si="3"/>
        <v>-2.2833451626731338E-2</v>
      </c>
      <c r="D131" s="28"/>
      <c r="E131" s="1"/>
      <c r="F131" s="1"/>
      <c r="G131" s="35"/>
    </row>
    <row r="132" spans="1:7">
      <c r="A132" s="16">
        <v>43160</v>
      </c>
      <c r="B132">
        <v>55.592658999999998</v>
      </c>
      <c r="C132" s="1">
        <f t="shared" si="3"/>
        <v>1.8577551837053008E-2</v>
      </c>
      <c r="D132" s="28"/>
      <c r="E132" s="1"/>
      <c r="F132" s="1"/>
      <c r="G132" s="35"/>
    </row>
    <row r="133" spans="1:7">
      <c r="A133" s="16">
        <v>43191</v>
      </c>
      <c r="B133">
        <v>53.588428</v>
      </c>
      <c r="C133" s="1">
        <f t="shared" si="3"/>
        <v>-3.6052080185623003E-2</v>
      </c>
      <c r="D133" s="29"/>
      <c r="E133" s="1"/>
      <c r="F133" s="1"/>
      <c r="G133" s="35"/>
    </row>
    <row r="134" spans="1:7">
      <c r="A134" s="16">
        <v>43221</v>
      </c>
      <c r="B134">
        <v>51.70599</v>
      </c>
      <c r="C134" s="1">
        <f t="shared" si="3"/>
        <v>-3.5127695852544938E-2</v>
      </c>
      <c r="D134" s="28"/>
      <c r="E134" s="1"/>
      <c r="F134" s="1"/>
      <c r="G134" s="35"/>
    </row>
    <row r="135" spans="1:7">
      <c r="A135" s="16">
        <v>43252</v>
      </c>
      <c r="B135">
        <v>50.954281000000002</v>
      </c>
      <c r="C135" s="1">
        <f t="shared" si="3"/>
        <v>-1.4538141519000014E-2</v>
      </c>
      <c r="D135" s="28"/>
      <c r="E135" s="1"/>
      <c r="F135" s="1"/>
      <c r="G135" s="35"/>
    </row>
    <row r="136" spans="1:7">
      <c r="A136" s="16">
        <v>43282</v>
      </c>
      <c r="B136">
        <v>51.542029999999997</v>
      </c>
      <c r="C136" s="1">
        <f t="shared" si="3"/>
        <v>1.1534830606283908E-2</v>
      </c>
      <c r="D136" s="28"/>
      <c r="E136" s="1"/>
      <c r="F136" s="1"/>
      <c r="G136" s="35"/>
    </row>
    <row r="137" spans="1:7">
      <c r="A137" s="16">
        <v>43313</v>
      </c>
      <c r="B137">
        <v>49.646355</v>
      </c>
      <c r="C137" s="1">
        <f t="shared" si="3"/>
        <v>-3.6779207182953355E-2</v>
      </c>
      <c r="D137" s="28"/>
      <c r="E137" s="1"/>
      <c r="F137" s="1"/>
      <c r="G137" s="35"/>
    </row>
    <row r="138" spans="1:7">
      <c r="A138" s="16">
        <v>43344</v>
      </c>
      <c r="B138">
        <v>50.069744</v>
      </c>
      <c r="C138" s="1">
        <f t="shared" si="3"/>
        <v>8.528098387081906E-3</v>
      </c>
      <c r="D138" s="28"/>
      <c r="E138" s="1"/>
      <c r="F138" s="1"/>
      <c r="G138" s="35"/>
    </row>
    <row r="139" spans="1:7">
      <c r="A139" s="16">
        <v>43374</v>
      </c>
      <c r="B139">
        <v>49.853695000000002</v>
      </c>
      <c r="C139" s="1">
        <f t="shared" si="3"/>
        <v>-4.3149611469952553E-3</v>
      </c>
      <c r="D139" s="29"/>
      <c r="E139" s="1"/>
      <c r="F139" s="1"/>
      <c r="G139" s="35"/>
    </row>
    <row r="140" spans="1:7">
      <c r="A140" s="16">
        <v>43405</v>
      </c>
      <c r="B140">
        <v>49.576152999999998</v>
      </c>
      <c r="C140" s="1">
        <f t="shared" si="3"/>
        <v>-5.5671299790317486E-3</v>
      </c>
      <c r="D140" s="29"/>
      <c r="E140" s="1"/>
      <c r="F140" s="1"/>
      <c r="G140" s="35"/>
    </row>
    <row r="141" spans="1:7">
      <c r="A141" s="16">
        <v>43435</v>
      </c>
      <c r="B141">
        <v>49.943237000000003</v>
      </c>
      <c r="C141" s="1">
        <f t="shared" si="3"/>
        <v>7.4044470534049278E-3</v>
      </c>
      <c r="D141" s="28"/>
      <c r="E141" s="1"/>
      <c r="F141" s="1"/>
      <c r="G141" s="35"/>
    </row>
    <row r="142" spans="1:7">
      <c r="A142" s="16">
        <v>43466</v>
      </c>
      <c r="B142">
        <v>52.582424000000003</v>
      </c>
      <c r="C142" s="1">
        <f t="shared" si="3"/>
        <v>5.2843731374480285E-2</v>
      </c>
      <c r="D142" s="29"/>
      <c r="E142" s="1"/>
      <c r="F142" s="1"/>
      <c r="G142" s="35"/>
    </row>
    <row r="143" spans="1:7">
      <c r="A143" s="16">
        <v>43497</v>
      </c>
      <c r="B143">
        <v>52.021178999999997</v>
      </c>
      <c r="C143" s="1">
        <f t="shared" ref="C143:C160" si="4">(B143/B142)-1</f>
        <v>-1.0673623566688439E-2</v>
      </c>
      <c r="D143" s="29"/>
      <c r="E143" s="1"/>
      <c r="F143" s="1"/>
      <c r="G143" s="35"/>
    </row>
    <row r="144" spans="1:7">
      <c r="A144" s="16">
        <v>43525</v>
      </c>
      <c r="B144">
        <v>52.348174999999998</v>
      </c>
      <c r="C144" s="1">
        <f t="shared" si="4"/>
        <v>6.285824471606194E-3</v>
      </c>
      <c r="D144" s="28"/>
      <c r="E144" s="1"/>
      <c r="F144" s="1"/>
      <c r="G144" s="35"/>
    </row>
    <row r="145" spans="1:7">
      <c r="A145" s="16">
        <v>43556</v>
      </c>
      <c r="B145">
        <v>52.050037000000003</v>
      </c>
      <c r="C145" s="1">
        <f t="shared" si="4"/>
        <v>-5.6952892818133982E-3</v>
      </c>
      <c r="D145" s="29"/>
      <c r="E145" s="1"/>
      <c r="F145" s="1"/>
      <c r="G145" s="35"/>
    </row>
    <row r="146" spans="1:7">
      <c r="A146" s="16">
        <v>43586</v>
      </c>
      <c r="B146">
        <v>52.185665</v>
      </c>
      <c r="C146" s="1">
        <f t="shared" si="4"/>
        <v>2.6057234118777028E-3</v>
      </c>
      <c r="D146" s="28"/>
      <c r="E146" s="1"/>
      <c r="F146" s="1"/>
      <c r="G146" s="35"/>
    </row>
    <row r="147" spans="1:7">
      <c r="A147" s="16">
        <v>43617</v>
      </c>
      <c r="B147">
        <v>54.025199999999998</v>
      </c>
      <c r="C147" s="1">
        <f t="shared" si="4"/>
        <v>3.524981429287144E-2</v>
      </c>
      <c r="D147" s="29"/>
      <c r="E147" s="1"/>
      <c r="F147" s="1"/>
      <c r="G147" s="35"/>
    </row>
    <row r="148" spans="1:7">
      <c r="A148" s="16">
        <v>43647</v>
      </c>
      <c r="B148">
        <v>53.63908</v>
      </c>
      <c r="C148" s="1">
        <f t="shared" si="4"/>
        <v>-7.1470350873296118E-3</v>
      </c>
      <c r="D148" s="29"/>
      <c r="E148" s="1"/>
      <c r="F148" s="1"/>
      <c r="G148" s="35"/>
    </row>
    <row r="149" spans="1:7">
      <c r="A149" s="16">
        <v>43678</v>
      </c>
      <c r="B149">
        <v>53.659430999999998</v>
      </c>
      <c r="C149" s="1">
        <f t="shared" si="4"/>
        <v>3.7940620905496658E-4</v>
      </c>
      <c r="D149" s="29"/>
      <c r="E149" s="1"/>
      <c r="F149" s="1"/>
      <c r="G149" s="35"/>
    </row>
    <row r="150" spans="1:7">
      <c r="A150" s="16">
        <v>43709</v>
      </c>
      <c r="B150">
        <v>53.816208000000003</v>
      </c>
      <c r="C150" s="1">
        <f t="shared" si="4"/>
        <v>2.9217044809888293E-3</v>
      </c>
      <c r="D150" s="28"/>
      <c r="E150" s="1"/>
      <c r="F150" s="1"/>
      <c r="G150" s="35"/>
    </row>
    <row r="151" spans="1:7">
      <c r="A151" s="16">
        <v>43739</v>
      </c>
      <c r="B151">
        <v>54.510551</v>
      </c>
      <c r="C151" s="1">
        <f t="shared" si="4"/>
        <v>1.2902116774931471E-2</v>
      </c>
      <c r="D151" s="28"/>
      <c r="E151" s="1"/>
      <c r="F151" s="1"/>
      <c r="G151" s="35"/>
    </row>
    <row r="152" spans="1:7">
      <c r="A152" s="16">
        <v>43770</v>
      </c>
      <c r="B152">
        <v>53.335278000000002</v>
      </c>
      <c r="C152" s="1">
        <f t="shared" si="4"/>
        <v>-2.1560468174317227E-2</v>
      </c>
      <c r="D152" s="29"/>
      <c r="E152" s="1"/>
      <c r="F152" s="1"/>
      <c r="G152" s="35"/>
    </row>
    <row r="153" spans="1:7">
      <c r="A153" s="16">
        <v>43800</v>
      </c>
      <c r="B153">
        <v>54.435825000000001</v>
      </c>
      <c r="C153" s="1">
        <f t="shared" si="4"/>
        <v>2.0634503864402909E-2</v>
      </c>
      <c r="D153" s="28"/>
      <c r="E153" s="1"/>
      <c r="F153" s="1"/>
      <c r="G153" s="35"/>
    </row>
    <row r="154" spans="1:7">
      <c r="A154" s="16">
        <v>43831</v>
      </c>
      <c r="B154">
        <v>54.912632000000002</v>
      </c>
      <c r="C154" s="1">
        <f t="shared" si="4"/>
        <v>8.7590662950363107E-3</v>
      </c>
      <c r="D154" s="29"/>
      <c r="E154" s="1"/>
      <c r="F154" s="1"/>
      <c r="G154" s="35"/>
    </row>
    <row r="155" spans="1:7">
      <c r="A155" s="16">
        <v>43862</v>
      </c>
      <c r="B155">
        <v>54.098965</v>
      </c>
      <c r="C155" s="1">
        <f t="shared" si="4"/>
        <v>-1.4817483161251532E-2</v>
      </c>
      <c r="D155" s="28"/>
      <c r="E155" s="1"/>
      <c r="F155" s="1"/>
      <c r="G155" s="35"/>
    </row>
    <row r="156" spans="1:7">
      <c r="A156" s="16">
        <v>43891</v>
      </c>
      <c r="B156">
        <v>48.470149999999997</v>
      </c>
      <c r="C156" s="1">
        <f t="shared" si="4"/>
        <v>-0.10404663009726711</v>
      </c>
      <c r="D156" s="29"/>
      <c r="E156" s="1"/>
      <c r="F156" s="1"/>
      <c r="G156" s="35"/>
    </row>
    <row r="157" spans="1:7">
      <c r="A157" s="16">
        <v>43922</v>
      </c>
      <c r="B157">
        <v>49.717574999999997</v>
      </c>
      <c r="C157" s="1">
        <f t="shared" si="4"/>
        <v>2.5735942636859965E-2</v>
      </c>
      <c r="D157" s="29"/>
      <c r="E157" s="1"/>
      <c r="F157" s="1"/>
      <c r="G157" s="35"/>
    </row>
    <row r="158" spans="1:7">
      <c r="A158" s="16">
        <v>43952</v>
      </c>
      <c r="B158">
        <v>51.350594000000001</v>
      </c>
      <c r="C158" s="1">
        <f t="shared" si="4"/>
        <v>3.2845910123331823E-2</v>
      </c>
      <c r="D158" s="28"/>
      <c r="E158" s="1"/>
      <c r="F158" s="1"/>
      <c r="G158" s="35"/>
    </row>
    <row r="159" spans="1:7">
      <c r="A159" s="16">
        <v>43983</v>
      </c>
      <c r="B159">
        <v>52.365783999999998</v>
      </c>
      <c r="C159" s="1">
        <f t="shared" si="4"/>
        <v>1.976978104673921E-2</v>
      </c>
      <c r="D159" s="28"/>
      <c r="E159" s="1"/>
      <c r="F159" s="1"/>
      <c r="G159" s="35"/>
    </row>
    <row r="160" spans="1:7">
      <c r="A160" s="16">
        <v>44013</v>
      </c>
      <c r="B160">
        <v>52.978371000000003</v>
      </c>
      <c r="C160" s="1">
        <f t="shared" si="4"/>
        <v>1.1698230279527655E-2</v>
      </c>
      <c r="D160" s="28"/>
      <c r="E160" s="1"/>
      <c r="F160" s="1"/>
      <c r="G160" s="35"/>
    </row>
    <row r="161" spans="1:7">
      <c r="A161" s="16"/>
      <c r="C161" s="1"/>
      <c r="D161" s="28"/>
      <c r="E161" s="1"/>
      <c r="F161" s="1"/>
      <c r="G161" s="35"/>
    </row>
    <row r="162" spans="1:7">
      <c r="A162" s="16"/>
      <c r="C162" s="1"/>
      <c r="D162" s="29"/>
      <c r="E162" s="1"/>
      <c r="F162" s="1"/>
      <c r="G162" s="35"/>
    </row>
    <row r="163" spans="1:7">
      <c r="A163" s="16"/>
      <c r="C163" s="1"/>
      <c r="D163" s="29"/>
      <c r="E163" s="1"/>
      <c r="F163" s="1"/>
      <c r="G163" s="35"/>
    </row>
    <row r="164" spans="1:7">
      <c r="A164" s="16"/>
      <c r="C164" s="1"/>
      <c r="D164" s="29"/>
      <c r="E164" s="1"/>
      <c r="F164" s="1"/>
      <c r="G164" s="35"/>
    </row>
    <row r="165" spans="1:7">
      <c r="A165" s="16"/>
      <c r="C165" s="1"/>
      <c r="D165" s="28"/>
      <c r="E165" s="1"/>
      <c r="F165" s="1"/>
      <c r="G165" s="35"/>
    </row>
    <row r="166" spans="1:7">
      <c r="A166" s="16"/>
      <c r="C166" s="1"/>
      <c r="D166" s="28"/>
      <c r="E166" s="1"/>
      <c r="F166" s="1"/>
      <c r="G166" s="35"/>
    </row>
    <row r="167" spans="1:7">
      <c r="A167" s="16"/>
      <c r="C167" s="1"/>
      <c r="D167" s="28"/>
      <c r="E167" s="1"/>
      <c r="F167" s="1"/>
      <c r="G167" s="35"/>
    </row>
    <row r="168" spans="1:7">
      <c r="A168" s="16"/>
      <c r="C168" s="1"/>
      <c r="D168" s="29"/>
      <c r="E168" s="1"/>
      <c r="F168" s="1"/>
      <c r="G168" s="35"/>
    </row>
    <row r="169" spans="1:7">
      <c r="A169" s="16"/>
      <c r="C169" s="1"/>
      <c r="D169" s="28"/>
      <c r="E169" s="1"/>
      <c r="F169" s="1"/>
      <c r="G169" s="35"/>
    </row>
    <row r="170" spans="1:7">
      <c r="A170" s="16"/>
      <c r="C170" s="1"/>
      <c r="D170" s="29"/>
      <c r="E170" s="1"/>
      <c r="F170" s="1"/>
      <c r="G170" s="35"/>
    </row>
    <row r="171" spans="1:7">
      <c r="A171" s="16"/>
      <c r="C171" s="1"/>
      <c r="D171" s="29"/>
      <c r="E171" s="1"/>
      <c r="F171" s="1"/>
      <c r="G171" s="35"/>
    </row>
    <row r="172" spans="1:7">
      <c r="A172" s="16"/>
      <c r="C172" s="1"/>
      <c r="D172" s="28"/>
      <c r="E172" s="1"/>
      <c r="F172" s="1"/>
      <c r="G172" s="35"/>
    </row>
    <row r="173" spans="1:7">
      <c r="A173" s="16"/>
      <c r="C173" s="1"/>
      <c r="D173" s="29"/>
      <c r="E173" s="1"/>
      <c r="F173" s="1"/>
      <c r="G173" s="35"/>
    </row>
    <row r="174" spans="1:7">
      <c r="A174" s="16"/>
      <c r="C174" s="1"/>
      <c r="D174" s="29"/>
      <c r="E174" s="1"/>
      <c r="F174" s="1"/>
      <c r="G174" s="35"/>
    </row>
    <row r="175" spans="1:7">
      <c r="A175" s="16"/>
      <c r="C175" s="1"/>
      <c r="D175" s="29"/>
      <c r="E175" s="1"/>
      <c r="F175" s="1"/>
      <c r="G175" s="35"/>
    </row>
    <row r="176" spans="1:7">
      <c r="A176" s="16"/>
      <c r="C176" s="1"/>
      <c r="D176" s="28"/>
      <c r="E176" s="1"/>
      <c r="F176" s="1"/>
      <c r="G176" s="35"/>
    </row>
    <row r="177" spans="1:7">
      <c r="A177" s="16"/>
      <c r="C177" s="1"/>
      <c r="D177" s="29"/>
      <c r="E177" s="1"/>
      <c r="F177" s="1"/>
      <c r="G177" s="35"/>
    </row>
    <row r="178" spans="1:7">
      <c r="A178" s="16"/>
      <c r="C178" s="1"/>
      <c r="D178" s="28"/>
      <c r="E178" s="1"/>
      <c r="F178" s="1"/>
      <c r="G178" s="35"/>
    </row>
    <row r="179" spans="1:7">
      <c r="A179" s="16"/>
      <c r="C179" s="1"/>
      <c r="D179" s="28"/>
      <c r="E179" s="1"/>
      <c r="F179" s="1"/>
      <c r="G179" s="35"/>
    </row>
    <row r="180" spans="1:7">
      <c r="A180" s="16"/>
      <c r="C180" s="1"/>
      <c r="D180" s="28"/>
      <c r="E180" s="1"/>
      <c r="F180" s="1"/>
      <c r="G180" s="35"/>
    </row>
    <row r="181" spans="1:7">
      <c r="A181" s="16"/>
      <c r="C181" s="1"/>
      <c r="D181" s="28"/>
      <c r="E181" s="1"/>
      <c r="F181" s="1"/>
      <c r="G181" s="35"/>
    </row>
    <row r="182" spans="1:7">
      <c r="A182" s="16"/>
      <c r="C182" s="1"/>
      <c r="D182" s="29"/>
      <c r="E182" s="1"/>
      <c r="F182" s="1"/>
      <c r="G182" s="35"/>
    </row>
    <row r="183" spans="1:7">
      <c r="A183" s="16"/>
      <c r="C183" s="1"/>
      <c r="D183" s="28"/>
      <c r="E183" s="1"/>
      <c r="F183" s="1"/>
      <c r="G183" s="35"/>
    </row>
    <row r="184" spans="1:7">
      <c r="A184" s="16"/>
      <c r="C184" s="1"/>
      <c r="D184" s="29"/>
      <c r="E184" s="1"/>
      <c r="F184" s="1"/>
      <c r="G184" s="35"/>
    </row>
    <row r="185" spans="1:7">
      <c r="A185" s="16"/>
      <c r="C185" s="1"/>
      <c r="D185" s="29"/>
      <c r="E185" s="1"/>
      <c r="F185" s="1"/>
      <c r="G185" s="35"/>
    </row>
    <row r="186" spans="1:7">
      <c r="A186" s="16"/>
      <c r="C186" s="1"/>
      <c r="D186" s="28"/>
      <c r="E186" s="1"/>
      <c r="F186" s="1"/>
      <c r="G186" s="35"/>
    </row>
    <row r="187" spans="1:7">
      <c r="A187" s="16"/>
      <c r="C187" s="1"/>
      <c r="D187" s="28"/>
      <c r="E187" s="1"/>
      <c r="F187" s="1"/>
      <c r="G187" s="35"/>
    </row>
    <row r="188" spans="1:7">
      <c r="A188" s="16"/>
      <c r="C188" s="1"/>
      <c r="D188" s="28"/>
      <c r="E188" s="1"/>
      <c r="F188" s="1"/>
      <c r="G188" s="35"/>
    </row>
    <row r="189" spans="1:7">
      <c r="A189" s="16"/>
      <c r="C189" s="1"/>
      <c r="D189" s="28"/>
      <c r="E189" s="1"/>
      <c r="F189" s="1"/>
      <c r="G189" s="35"/>
    </row>
    <row r="190" spans="1:7">
      <c r="A190" s="16"/>
      <c r="C190" s="1"/>
      <c r="D190" s="29"/>
      <c r="E190" s="1"/>
      <c r="F190" s="1"/>
      <c r="G190" s="35"/>
    </row>
    <row r="191" spans="1:7">
      <c r="A191" s="16"/>
      <c r="C191" s="1"/>
      <c r="D191" s="29"/>
      <c r="E191" s="1"/>
      <c r="F191" s="1"/>
      <c r="G191" s="35"/>
    </row>
    <row r="192" spans="1:7">
      <c r="A192" s="16"/>
      <c r="C192" s="1"/>
      <c r="D192" s="29"/>
      <c r="E192" s="1"/>
      <c r="F192" s="1"/>
      <c r="G192" s="35"/>
    </row>
    <row r="193" spans="1:7">
      <c r="A193" s="16"/>
      <c r="C193" s="1"/>
      <c r="D193" s="28"/>
      <c r="E193" s="1"/>
      <c r="F193" s="1"/>
      <c r="G193" s="35"/>
    </row>
    <row r="194" spans="1:7">
      <c r="A194" s="16"/>
      <c r="C194" s="1"/>
      <c r="D194" s="28"/>
      <c r="E194" s="1"/>
      <c r="F194" s="1"/>
      <c r="G194" s="35"/>
    </row>
    <row r="195" spans="1:7">
      <c r="A195" s="16"/>
      <c r="C195" s="1"/>
      <c r="D195" s="28"/>
      <c r="E195" s="1"/>
      <c r="F195" s="1"/>
      <c r="G195" s="35"/>
    </row>
    <row r="196" spans="1:7">
      <c r="A196" s="16"/>
      <c r="C196" s="1"/>
      <c r="D196" s="26"/>
      <c r="E196" s="1"/>
      <c r="F196" s="1"/>
      <c r="G196" s="35"/>
    </row>
    <row r="197" spans="1:7">
      <c r="A197" s="16"/>
      <c r="C197" s="1"/>
      <c r="D197" s="26"/>
      <c r="E197" s="1"/>
      <c r="F197" s="1"/>
      <c r="G197" s="35"/>
    </row>
    <row r="198" spans="1:7">
      <c r="A198" s="16"/>
      <c r="C198" s="1"/>
      <c r="D198" s="26"/>
      <c r="E198" s="1"/>
      <c r="F198" s="1"/>
      <c r="G198" s="35"/>
    </row>
    <row r="199" spans="1:7">
      <c r="A199" s="16"/>
      <c r="C199" s="1"/>
      <c r="D199" s="26"/>
      <c r="E199" s="1"/>
      <c r="F199" s="1"/>
      <c r="G199" s="35"/>
    </row>
    <row r="200" spans="1:7">
      <c r="A200" s="16"/>
      <c r="C200" s="1"/>
      <c r="D200" s="26"/>
      <c r="E200" s="1"/>
      <c r="F200" s="1"/>
      <c r="G200" s="35"/>
    </row>
    <row r="201" spans="1:7">
      <c r="A201" s="16"/>
      <c r="C201" s="1"/>
      <c r="D201" s="26"/>
      <c r="E201" s="1"/>
      <c r="F201" s="1"/>
      <c r="G201" s="35"/>
    </row>
    <row r="202" spans="1:7">
      <c r="A202" s="16"/>
      <c r="C202" s="1"/>
      <c r="D202" s="26"/>
      <c r="E202" s="1"/>
      <c r="F202" s="1"/>
      <c r="G202" s="35"/>
    </row>
    <row r="203" spans="1:7">
      <c r="A203" s="16"/>
      <c r="C203" s="1"/>
      <c r="D203" s="26"/>
      <c r="E203" s="1"/>
      <c r="F203" s="1"/>
      <c r="G203" s="35"/>
    </row>
    <row r="204" spans="1:7">
      <c r="A204" s="16"/>
      <c r="C204" s="1"/>
      <c r="D204" s="26"/>
      <c r="E204" s="1"/>
      <c r="F204" s="1"/>
      <c r="G204" s="35"/>
    </row>
    <row r="205" spans="1:7">
      <c r="A205" s="16"/>
      <c r="C205" s="1"/>
      <c r="D205" s="26"/>
      <c r="E205" s="1"/>
      <c r="F205" s="1"/>
      <c r="G205" s="35"/>
    </row>
    <row r="206" spans="1:7">
      <c r="A206" s="16"/>
      <c r="C206" s="1"/>
      <c r="D206" s="26"/>
      <c r="E206" s="1"/>
      <c r="F206" s="1"/>
      <c r="G206" s="35"/>
    </row>
    <row r="207" spans="1:7">
      <c r="A207" s="16"/>
      <c r="C207" s="1"/>
      <c r="D207" s="26"/>
      <c r="E207" s="1"/>
      <c r="F207" s="1"/>
      <c r="G207" s="35"/>
    </row>
    <row r="208" spans="1:7">
      <c r="A208" s="16"/>
      <c r="C208" s="1"/>
      <c r="D208" s="26"/>
      <c r="E208" s="1"/>
      <c r="F208" s="1"/>
      <c r="G208" s="35"/>
    </row>
    <row r="209" spans="1:7">
      <c r="A209" s="16"/>
      <c r="C209" s="1"/>
      <c r="D209" s="26"/>
      <c r="E209" s="1"/>
      <c r="F209" s="1"/>
      <c r="G209" s="35"/>
    </row>
  </sheetData>
  <autoFilter ref="A11:Y165" xr:uid="{88C8BFEA-92E7-AC41-A856-6D536DBA7704}"/>
  <sortState xmlns:xlrd2="http://schemas.microsoft.com/office/spreadsheetml/2017/richdata2" ref="K13:K21">
    <sortCondition ref="K13"/>
  </sortState>
  <conditionalFormatting sqref="C1:C10">
    <cfRule type="cellIs" dxfId="17" priority="17" operator="lessThan">
      <formula>0</formula>
    </cfRule>
    <cfRule type="cellIs" dxfId="16" priority="18" operator="greaterThan">
      <formula>0</formula>
    </cfRule>
  </conditionalFormatting>
  <conditionalFormatting sqref="E1:F10">
    <cfRule type="cellIs" dxfId="15" priority="15" operator="lessThan">
      <formula>0</formula>
    </cfRule>
    <cfRule type="cellIs" dxfId="14" priority="16" operator="greaterThan">
      <formula>0</formula>
    </cfRule>
  </conditionalFormatting>
  <conditionalFormatting sqref="G1:G10">
    <cfRule type="cellIs" dxfId="13" priority="13" operator="lessThan">
      <formula>0</formula>
    </cfRule>
    <cfRule type="cellIs" dxfId="12" priority="14" operator="greaterThan">
      <formula>0</formula>
    </cfRule>
  </conditionalFormatting>
  <conditionalFormatting sqref="C12:C209">
    <cfRule type="cellIs" dxfId="11" priority="11" operator="lessThan">
      <formula>0</formula>
    </cfRule>
    <cfRule type="cellIs" dxfId="10" priority="12" operator="greaterThan">
      <formula>0</formula>
    </cfRule>
  </conditionalFormatting>
  <conditionalFormatting sqref="E12:F209">
    <cfRule type="cellIs" dxfId="9" priority="9" operator="lessThan">
      <formula>0</formula>
    </cfRule>
    <cfRule type="cellIs" dxfId="8" priority="10" operator="greaterThan">
      <formula>0</formula>
    </cfRule>
  </conditionalFormatting>
  <conditionalFormatting sqref="G12:G13 G168:G209">
    <cfRule type="cellIs" dxfId="7" priority="7" operator="lessThan">
      <formula>0</formula>
    </cfRule>
    <cfRule type="cellIs" dxfId="6" priority="8" operator="greaterThan">
      <formula>0</formula>
    </cfRule>
  </conditionalFormatting>
  <conditionalFormatting sqref="G140:G167">
    <cfRule type="cellIs" dxfId="5" priority="5" operator="lessThan">
      <formula>0</formula>
    </cfRule>
    <cfRule type="cellIs" dxfId="4" priority="6" operator="greaterThan">
      <formula>0</formula>
    </cfRule>
  </conditionalFormatting>
  <conditionalFormatting sqref="G14:G139">
    <cfRule type="cellIs" dxfId="3" priority="3" operator="lessThan">
      <formula>0</formula>
    </cfRule>
    <cfRule type="cellIs" dxfId="2" priority="4" operator="greaterThan">
      <formula>0</formula>
    </cfRule>
  </conditionalFormatting>
  <conditionalFormatting sqref="M44:M47">
    <cfRule type="cellIs" dxfId="1" priority="1" operator="lessThan">
      <formula>0</formula>
    </cfRule>
    <cfRule type="cellIs" dxfId="0" priority="2" operator="greaterThan">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Estimation</vt:lpstr>
      <vt:lpstr>Rolling Return_Tem</vt:lpstr>
      <vt:lpstr>Efficient Frontier</vt:lpstr>
      <vt:lpstr>Monte Carlo</vt:lpstr>
      <vt:lpstr>Scorecard</vt:lpstr>
      <vt:lpstr>VTI</vt:lpstr>
      <vt:lpstr>VGK</vt:lpstr>
      <vt:lpstr>VPL</vt:lpstr>
      <vt:lpstr>VWO</vt:lpstr>
      <vt:lpstr>VEA</vt:lpstr>
      <vt:lpstr>VGIT</vt:lpstr>
      <vt:lpstr>TIP</vt:lpstr>
      <vt:lpstr>BWX</vt:lpstr>
      <vt:lpstr>WIP</vt:lpstr>
      <vt:lpstr>Holding_Period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2020-06-28T16:41:32Z</dcterms:created>
  <dcterms:modified xsi:type="dcterms:W3CDTF">2022-08-30T13:23:25Z</dcterms:modified>
</cp:coreProperties>
</file>